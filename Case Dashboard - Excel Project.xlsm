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amrbegam\Desktop\"/>
    </mc:Choice>
  </mc:AlternateContent>
  <xr:revisionPtr revIDLastSave="0" documentId="13_ncr:1_{0D79F798-6D73-4821-B272-64969801DF5F}" xr6:coauthVersionLast="47" xr6:coauthVersionMax="47" xr10:uidLastSave="{00000000-0000-0000-0000-000000000000}"/>
  <bookViews>
    <workbookView xWindow="-110" yWindow="-110" windowWidth="19420" windowHeight="10300" xr2:uid="{00000000-000D-0000-FFFF-FFFF00000000}"/>
  </bookViews>
  <sheets>
    <sheet name="Data" sheetId="9" r:id="rId1"/>
    <sheet name="PivotTable" sheetId="16" r:id="rId2"/>
    <sheet name="Dashboard" sheetId="13" r:id="rId3"/>
    <sheet name="Project Summary" sheetId="20" r:id="rId4"/>
    <sheet name="Mapping" sheetId="19" state="hidden" r:id="rId5"/>
  </sheets>
  <definedNames>
    <definedName name="_xlnm._FilterDatabase" localSheetId="0" hidden="1">Data!$D$1:$I$998</definedName>
    <definedName name="DispositionList">Dashboard!#REF!</definedName>
    <definedName name="FBA">Mapping!$C:$C</definedName>
    <definedName name="ILAC">Mapping!$B:$B</definedName>
    <definedName name="Slicer_Case_Disposition">#N/A</definedName>
    <definedName name="Slicer_Case_Disposition1">#N/A</definedName>
    <definedName name="Slicer_Count">#N/A</definedName>
    <definedName name="Slicer_Escalation">#N/A</definedName>
    <definedName name="Slicer_Month">#N/A</definedName>
    <definedName name="Slicer_Month1">#N/A</definedName>
    <definedName name="Slicer_Month2">#N/A</definedName>
    <definedName name="Slicer_Skill">#N/A</definedName>
    <definedName name="Slicer_Skill1">#N/A</definedName>
  </definedNames>
  <calcPr calcId="191029"/>
  <pivotCaches>
    <pivotCache cacheId="0" r:id="rId6"/>
    <pivotCache cacheId="1" r:id="rId7"/>
    <pivotCache cacheId="2"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3" l="1"/>
  <c r="F4" i="13"/>
  <c r="C2" i="19" a="1"/>
  <c r="C2" i="19" s="1"/>
  <c r="B2" i="19" a="1"/>
  <c r="B2" i="19"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2" i="9"/>
  <c r="C2" i="9"/>
  <c r="B2" i="9"/>
  <c r="J2" i="9"/>
  <c r="J3" i="9"/>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1005" i="9"/>
  <c r="J1006" i="9"/>
  <c r="J1007" i="9"/>
  <c r="J1008" i="9"/>
  <c r="J1009" i="9"/>
  <c r="J1010" i="9"/>
  <c r="J1011" i="9"/>
  <c r="J1012" i="9"/>
  <c r="J1013" i="9"/>
  <c r="J1014" i="9"/>
  <c r="J1015" i="9"/>
  <c r="J1016" i="9"/>
  <c r="J1017" i="9"/>
  <c r="J1018" i="9"/>
  <c r="J1019" i="9"/>
  <c r="J1020" i="9"/>
  <c r="J1021" i="9"/>
  <c r="J1022" i="9"/>
  <c r="J1023" i="9"/>
  <c r="J1024" i="9"/>
  <c r="J1025" i="9"/>
  <c r="J1026" i="9"/>
  <c r="J1027" i="9"/>
  <c r="J1028" i="9"/>
  <c r="J1029" i="9"/>
  <c r="J1030" i="9"/>
  <c r="J1031" i="9"/>
  <c r="J1032" i="9"/>
  <c r="J1033" i="9"/>
  <c r="J1034" i="9"/>
  <c r="J1035" i="9"/>
  <c r="J1036" i="9"/>
  <c r="J1037" i="9"/>
  <c r="J1038" i="9"/>
  <c r="F5"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<sst xmlns="http://schemas.openxmlformats.org/spreadsheetml/2006/main" count="3188" uniqueCount="285">
  <si>
    <t>Date</t>
  </si>
  <si>
    <t>Case ID</t>
  </si>
  <si>
    <t>Case Disposition</t>
  </si>
  <si>
    <t>PAA</t>
  </si>
  <si>
    <t>Resolved</t>
  </si>
  <si>
    <t>PMA</t>
  </si>
  <si>
    <t>Comments</t>
  </si>
  <si>
    <t>Transfer</t>
  </si>
  <si>
    <t>99 case</t>
  </si>
  <si>
    <t>Add a product</t>
  </si>
  <si>
    <t>Unassigned</t>
  </si>
  <si>
    <t>FBA</t>
  </si>
  <si>
    <t>Stranded inventory</t>
  </si>
  <si>
    <t>Damaged inventory</t>
  </si>
  <si>
    <t>Chat disconnected</t>
  </si>
  <si>
    <t>ASIN remap</t>
  </si>
  <si>
    <t>Open TT</t>
  </si>
  <si>
    <t>Unfulfillable inventory</t>
  </si>
  <si>
    <t>IIDP</t>
  </si>
  <si>
    <t>Reserved inventory</t>
  </si>
  <si>
    <t>Account deactivated</t>
  </si>
  <si>
    <t>ILAC</t>
  </si>
  <si>
    <t>Merged case</t>
  </si>
  <si>
    <t>MCF order</t>
  </si>
  <si>
    <t>Reimbursed</t>
  </si>
  <si>
    <t>Shipment over 6 months</t>
  </si>
  <si>
    <t>No discrepancy</t>
  </si>
  <si>
    <t>Duplicate case</t>
  </si>
  <si>
    <t>FFT</t>
  </si>
  <si>
    <t>Informed as per TT</t>
  </si>
  <si>
    <t>Already reimbursed</t>
  </si>
  <si>
    <t>Reconciled</t>
  </si>
  <si>
    <t>Lost inventory</t>
  </si>
  <si>
    <t>Item Ineligible</t>
  </si>
  <si>
    <t>Added follow up</t>
  </si>
  <si>
    <t>POD</t>
  </si>
  <si>
    <t>BOL</t>
  </si>
  <si>
    <t>Documents</t>
  </si>
  <si>
    <t>Orders</t>
  </si>
  <si>
    <t>Hazmat</t>
  </si>
  <si>
    <t>KYC</t>
  </si>
  <si>
    <t>Global selling</t>
  </si>
  <si>
    <t>Subscribe and Save</t>
  </si>
  <si>
    <t>Deals</t>
  </si>
  <si>
    <t>Voice of the customer</t>
  </si>
  <si>
    <t>Payments</t>
  </si>
  <si>
    <t>Req info</t>
  </si>
  <si>
    <t>BR support</t>
  </si>
  <si>
    <t>Overage</t>
  </si>
  <si>
    <t>A+ content</t>
  </si>
  <si>
    <t>RMS</t>
  </si>
  <si>
    <t>Invoice</t>
  </si>
  <si>
    <t>BP</t>
  </si>
  <si>
    <t>Query unclear</t>
  </si>
  <si>
    <t>SIV</t>
  </si>
  <si>
    <t>BIL</t>
  </si>
  <si>
    <t>Seller no response</t>
  </si>
  <si>
    <t>VAT</t>
  </si>
  <si>
    <t>HV</t>
  </si>
  <si>
    <t>FC processing</t>
  </si>
  <si>
    <t>Order</t>
  </si>
  <si>
    <t>MAT</t>
  </si>
  <si>
    <t>Contacted carrier</t>
  </si>
  <si>
    <t>Re-evaluation request</t>
  </si>
  <si>
    <t>WD</t>
  </si>
  <si>
    <t>Shipment not closed</t>
  </si>
  <si>
    <t>Follow up required</t>
  </si>
  <si>
    <t>Count</t>
  </si>
  <si>
    <t>Skill</t>
  </si>
  <si>
    <t>Account closure</t>
  </si>
  <si>
    <t>More time req</t>
  </si>
  <si>
    <t>Account status</t>
  </si>
  <si>
    <t>Order ID</t>
  </si>
  <si>
    <t>Book an appointment</t>
  </si>
  <si>
    <t>Report a violation</t>
  </si>
  <si>
    <t>Expired inventory</t>
  </si>
  <si>
    <t>Contents tab</t>
  </si>
  <si>
    <t>VTR</t>
  </si>
  <si>
    <t>Defective units</t>
  </si>
  <si>
    <t>FFTD</t>
  </si>
  <si>
    <t xml:space="preserve">VAT </t>
  </si>
  <si>
    <t>Pricing error</t>
  </si>
  <si>
    <t>DE</t>
  </si>
  <si>
    <t>180 days</t>
  </si>
  <si>
    <t>Adjusted</t>
  </si>
  <si>
    <t>Missed pickup</t>
  </si>
  <si>
    <t>Explain charges</t>
  </si>
  <si>
    <t>E5665</t>
  </si>
  <si>
    <t>E5461</t>
  </si>
  <si>
    <t>VCS</t>
  </si>
  <si>
    <t>MCF</t>
  </si>
  <si>
    <t>Account verification</t>
  </si>
  <si>
    <t>Removal Order</t>
  </si>
  <si>
    <t>LOA</t>
  </si>
  <si>
    <t>Safe-T claim</t>
  </si>
  <si>
    <t>Feeds</t>
  </si>
  <si>
    <t>Disbursement</t>
  </si>
  <si>
    <t>Referral fee</t>
  </si>
  <si>
    <t>Distributor Damaged</t>
  </si>
  <si>
    <t>Product compliance</t>
  </si>
  <si>
    <t>Receiving</t>
  </si>
  <si>
    <t>Alternate queue</t>
  </si>
  <si>
    <t>E8572</t>
  </si>
  <si>
    <t>Inactive listing</t>
  </si>
  <si>
    <t>E8541</t>
  </si>
  <si>
    <t>AtoZ claim</t>
  </si>
  <si>
    <t>GTIN exemption</t>
  </si>
  <si>
    <t>Coupon</t>
  </si>
  <si>
    <t>Gated listing</t>
  </si>
  <si>
    <t>Callback req</t>
  </si>
  <si>
    <t>E5885</t>
  </si>
  <si>
    <t>Bank account</t>
  </si>
  <si>
    <t>Featured offer</t>
  </si>
  <si>
    <t>OTP</t>
  </si>
  <si>
    <t>Multiple identifiers</t>
  </si>
  <si>
    <t>CN</t>
  </si>
  <si>
    <t>Product type</t>
  </si>
  <si>
    <t>Undelivered shipment</t>
  </si>
  <si>
    <t>Inventory reports</t>
  </si>
  <si>
    <t>Close account</t>
  </si>
  <si>
    <t>*FFTD</t>
  </si>
  <si>
    <t>Prohibited items</t>
  </si>
  <si>
    <t>Cancel order</t>
  </si>
  <si>
    <t>2-Step verification</t>
  </si>
  <si>
    <t>MFN</t>
  </si>
  <si>
    <t>FbA</t>
  </si>
  <si>
    <t>*ILAC</t>
  </si>
  <si>
    <t>AE</t>
  </si>
  <si>
    <t>NL</t>
  </si>
  <si>
    <t>Product Safety</t>
  </si>
  <si>
    <t>EG</t>
  </si>
  <si>
    <t>Preferred FC</t>
  </si>
  <si>
    <t xml:space="preserve">KSA - https://w.amazon.com/bin/view/KSA_FBA_Operations/ - Preferred FC </t>
  </si>
  <si>
    <t>Warehouse transfer</t>
  </si>
  <si>
    <t>Seller performance</t>
  </si>
  <si>
    <t>Seller flex order - Safe-T claim</t>
  </si>
  <si>
    <t>Order of a different selling account</t>
  </si>
  <si>
    <t>No query</t>
  </si>
  <si>
    <t xml:space="preserve">Easyship </t>
  </si>
  <si>
    <t>Review</t>
  </si>
  <si>
    <t>WF auto transfer</t>
  </si>
  <si>
    <t>Vendor Support</t>
  </si>
  <si>
    <t>Customer return</t>
  </si>
  <si>
    <t>E5886</t>
  </si>
  <si>
    <t>Amazon partnered carrier RMS req</t>
  </si>
  <si>
    <t>Unable to create a listing</t>
  </si>
  <si>
    <t>Approval button</t>
  </si>
  <si>
    <t>Delivered shipment</t>
  </si>
  <si>
    <t>SP says there is still 139 units missing</t>
  </si>
  <si>
    <t>SA</t>
  </si>
  <si>
    <t>Order not picked up</t>
  </si>
  <si>
    <t>Order fee</t>
  </si>
  <si>
    <t>Create shipment</t>
  </si>
  <si>
    <t>User permission</t>
  </si>
  <si>
    <t>Non returnable ASIN</t>
  </si>
  <si>
    <t>TT cut for tool access</t>
  </si>
  <si>
    <t>swa-shipper</t>
  </si>
  <si>
    <t>Listing merge</t>
  </si>
  <si>
    <t>Premium Shipping Option</t>
  </si>
  <si>
    <t>FBA New selection program</t>
  </si>
  <si>
    <t>Pick-up slip</t>
  </si>
  <si>
    <t>Packaging Requirements</t>
  </si>
  <si>
    <t>Order payment</t>
  </si>
  <si>
    <t>*Order</t>
  </si>
  <si>
    <t>Foreign Currency Disbursement</t>
  </si>
  <si>
    <t>*Account Manager</t>
  </si>
  <si>
    <t>Individual account</t>
  </si>
  <si>
    <t>Sales rank</t>
  </si>
  <si>
    <t>*IIDP</t>
  </si>
  <si>
    <t>Seller opened a new chat</t>
  </si>
  <si>
    <t>Update business address</t>
  </si>
  <si>
    <t>Virtual Bundle</t>
  </si>
  <si>
    <t>Feedback Manager</t>
  </si>
  <si>
    <t>Asked SP to contact advertiser support</t>
  </si>
  <si>
    <t>Send inventory from Egypt to UAE</t>
  </si>
  <si>
    <t>E8566</t>
  </si>
  <si>
    <t>Unavailable balance</t>
  </si>
  <si>
    <t>LPN number</t>
  </si>
  <si>
    <t>External Transfer</t>
  </si>
  <si>
    <t>Research why a FC cannot be found for a product</t>
  </si>
  <si>
    <t>*SA</t>
  </si>
  <si>
    <t>Unable to create removal order</t>
  </si>
  <si>
    <t>Campaign</t>
  </si>
  <si>
    <t>Late shipment rate</t>
  </si>
  <si>
    <t>Grade RMS</t>
  </si>
  <si>
    <t>Sold listing report</t>
  </si>
  <si>
    <t>GPSR</t>
  </si>
  <si>
    <t>Storage Fee</t>
  </si>
  <si>
    <t>Partnered carrier option missing</t>
  </si>
  <si>
    <t>Feedback removal req</t>
  </si>
  <si>
    <t>Ads</t>
  </si>
  <si>
    <t>Label</t>
  </si>
  <si>
    <t>*AE</t>
  </si>
  <si>
    <t>Merchant credits team</t>
  </si>
  <si>
    <t>Reopen req - shipment</t>
  </si>
  <si>
    <t>Cannot create shipment</t>
  </si>
  <si>
    <t>Previous ASC has contacted carrier</t>
  </si>
  <si>
    <t>Aged inventory report</t>
  </si>
  <si>
    <t>Order invoice</t>
  </si>
  <si>
    <t xml:space="preserve">Food and Product Safety </t>
  </si>
  <si>
    <t>Pick up issue</t>
  </si>
  <si>
    <t>Account login issue</t>
  </si>
  <si>
    <t>Carrier support</t>
  </si>
  <si>
    <t>Recall ASIN</t>
  </si>
  <si>
    <t xml:space="preserve">Proof of Pick up </t>
  </si>
  <si>
    <t>Amazon Renewed AE queue : sesu-ae-mat-ecm-reg-std-eng-crf@amazon.ae</t>
  </si>
  <si>
    <t>Generate a report</t>
  </si>
  <si>
    <t>Selling application rejected reason</t>
  </si>
  <si>
    <t>Ramadan Deal</t>
  </si>
  <si>
    <t>Arabic support</t>
  </si>
  <si>
    <t>SP issue fixed while on chat</t>
  </si>
  <si>
    <t>Transferred to correct MP</t>
  </si>
  <si>
    <t>PO flip</t>
  </si>
  <si>
    <t>Product review</t>
  </si>
  <si>
    <t>Amazon pickup service</t>
  </si>
  <si>
    <t>Pan european program</t>
  </si>
  <si>
    <t>MP DE</t>
  </si>
  <si>
    <t>Convert listing in bulk</t>
  </si>
  <si>
    <t>Restricted ASIN</t>
  </si>
  <si>
    <t>Carrier Damaged</t>
  </si>
  <si>
    <t>Rejected Shipment</t>
  </si>
  <si>
    <t>Frequently returned item</t>
  </si>
  <si>
    <t>Ineligible</t>
  </si>
  <si>
    <t>Status change</t>
  </si>
  <si>
    <t>Unauthorised inventory</t>
  </si>
  <si>
    <t>FC address</t>
  </si>
  <si>
    <t>Category Listing Report</t>
  </si>
  <si>
    <t>Account Level Reserve</t>
  </si>
  <si>
    <t>Self ship</t>
  </si>
  <si>
    <t>Re-print label</t>
  </si>
  <si>
    <t>AmazonNow</t>
  </si>
  <si>
    <t>Suppressed ASIN</t>
  </si>
  <si>
    <t>ATS</t>
  </si>
  <si>
    <t>Prev ASC resolved chat case</t>
  </si>
  <si>
    <t>Amazon Customs Program</t>
  </si>
  <si>
    <t>Row Labels</t>
  </si>
  <si>
    <t>Grand Total</t>
  </si>
  <si>
    <t>Escalation</t>
  </si>
  <si>
    <t>Count of Escalation</t>
  </si>
  <si>
    <t>Week</t>
  </si>
  <si>
    <t>Month</t>
  </si>
  <si>
    <t>Day</t>
  </si>
  <si>
    <t>Sum of Count</t>
  </si>
  <si>
    <t>Escalation count by skill</t>
  </si>
  <si>
    <t>Cases over time</t>
  </si>
  <si>
    <t>Apr2025</t>
  </si>
  <si>
    <t>Dec2025</t>
  </si>
  <si>
    <t>Feb2025</t>
  </si>
  <si>
    <t>Jan2025</t>
  </si>
  <si>
    <t>Jul2025</t>
  </si>
  <si>
    <t>Jun2025</t>
  </si>
  <si>
    <t>May2025</t>
  </si>
  <si>
    <t>Nov2025</t>
  </si>
  <si>
    <t>Contacted carrier // Follow up required</t>
  </si>
  <si>
    <t>No.</t>
  </si>
  <si>
    <t>(All)</t>
  </si>
  <si>
    <t>Total Cases</t>
  </si>
  <si>
    <t>Average Weekly Cases</t>
  </si>
  <si>
    <t>% of Total Cases</t>
  </si>
  <si>
    <t>Disposition Analysis Dashboard</t>
  </si>
  <si>
    <t>Select Disposition</t>
  </si>
  <si>
    <t>02-01-2025 - 08-01-2025</t>
  </si>
  <si>
    <t>09-01-2025 - 15-01-2025</t>
  </si>
  <si>
    <t>16-01-2025 - 22-01-2025</t>
  </si>
  <si>
    <t>23-01-2025 - 29-01-2025</t>
  </si>
  <si>
    <t>30-01-2025 - 05-02-2025</t>
  </si>
  <si>
    <t>06-02-2025 - 12-02-2025</t>
  </si>
  <si>
    <t>13-02-2025 - 19-02-2025</t>
  </si>
  <si>
    <t>20-02-2025 - 26-02-2025</t>
  </si>
  <si>
    <t>27-02-2025 - 05-03-2025</t>
  </si>
  <si>
    <t>27-03-2025 - 02-04-2025</t>
  </si>
  <si>
    <t>01-05-2025 - 07-05-2025</t>
  </si>
  <si>
    <t>29-05-2025 - 04-06-2025</t>
  </si>
  <si>
    <t>12-06-2025 - 18-06-2025</t>
  </si>
  <si>
    <t>19-06-2025 - 25-06-2025</t>
  </si>
  <si>
    <t>26-06-2025 - 02-07-2025</t>
  </si>
  <si>
    <t>30-10-2025 - 05-11-2025</t>
  </si>
  <si>
    <t>27-11-2025 - 03-12-2025</t>
  </si>
  <si>
    <t>Weekly Trend</t>
  </si>
  <si>
    <t>PROJECT SUMMARY :</t>
  </si>
  <si>
    <t>TOOLS USED :</t>
  </si>
  <si>
    <t>PROJECT ANALYSIS :</t>
  </si>
  <si>
    <r>
      <t xml:space="preserve">This project was created to analyse seller support case data with a focus on case dispositions and issue types. My goal was to turn raw case data into an insightful and easy to use dashboard that supports quick analysis.
</t>
    </r>
    <r>
      <rPr>
        <b/>
        <i/>
        <sz val="11"/>
        <color theme="1"/>
        <rFont val="Calibri"/>
        <family val="2"/>
        <scheme val="minor"/>
      </rPr>
      <t>Objectives</t>
    </r>
    <r>
      <rPr>
        <sz val="11"/>
        <color theme="1"/>
        <rFont val="Calibri"/>
        <family val="2"/>
        <scheme val="minor"/>
      </rPr>
      <t xml:space="preserve">
- To clean and structure raw case data for analysis.
- To visualize trends in case dispositions across days, weeks and months.
- To automate key reporting steps for efficient and consistent use.
</t>
    </r>
    <r>
      <rPr>
        <b/>
        <i/>
        <sz val="11"/>
        <color theme="1"/>
        <rFont val="Calibri"/>
        <family val="2"/>
        <scheme val="minor"/>
      </rPr>
      <t>Steps &amp; Key Highlights</t>
    </r>
    <r>
      <rPr>
        <sz val="11"/>
        <color theme="1"/>
        <rFont val="Calibri"/>
        <family val="2"/>
        <scheme val="minor"/>
      </rPr>
      <t xml:space="preserve">
 </t>
    </r>
    <r>
      <rPr>
        <i/>
        <u/>
        <sz val="11"/>
        <color theme="1"/>
        <rFont val="Calibri"/>
        <family val="2"/>
        <scheme val="minor"/>
      </rPr>
      <t>Data Preparation &amp; Cleaning :</t>
    </r>
    <r>
      <rPr>
        <sz val="11"/>
        <color theme="1"/>
        <rFont val="Calibri"/>
        <family val="2"/>
        <scheme val="minor"/>
      </rPr>
      <t xml:space="preserve">
- Cleaned the raw dataset and structured it in a readable format.
- Added calculated columns to extract week, month, and day using formula functions.
- Ensured data consistency by removing unwanted or empty values.
</t>
    </r>
    <r>
      <rPr>
        <i/>
        <u/>
        <sz val="11"/>
        <color theme="1"/>
        <rFont val="Calibri"/>
        <family val="2"/>
        <scheme val="minor"/>
      </rPr>
      <t>Pivot Table Insights :</t>
    </r>
    <r>
      <rPr>
        <sz val="11"/>
        <color theme="1"/>
        <rFont val="Calibri"/>
        <family val="2"/>
        <scheme val="minor"/>
      </rPr>
      <t xml:space="preserve">
- Created multiple Pivot Tables to break down case counts by disposition, issue type, and date.
- Applied sorting, filters, and layout adjustments to support dynamic analysis.
</t>
    </r>
    <r>
      <rPr>
        <i/>
        <u/>
        <sz val="11"/>
        <color theme="1"/>
        <rFont val="Calibri"/>
        <family val="2"/>
        <scheme val="minor"/>
      </rPr>
      <t>Interactive Dashboard Design :</t>
    </r>
    <r>
      <rPr>
        <sz val="11"/>
        <color theme="1"/>
        <rFont val="Calibri"/>
        <family val="2"/>
        <scheme val="minor"/>
      </rPr>
      <t xml:space="preserve">
- Designed a user-friendly dashboard with a clean and structured layout.
- Integrated Slicers (for month and day) and a dropdown menu (for disposition) to filter data interactively.
- Used data validation to make selections interactive and error-proof.
</t>
    </r>
    <r>
      <rPr>
        <i/>
        <u/>
        <sz val="11"/>
        <color theme="1"/>
        <rFont val="Calibri"/>
        <family val="2"/>
        <scheme val="minor"/>
      </rPr>
      <t>Visual KPIs &amp; Highlighting :</t>
    </r>
    <r>
      <rPr>
        <sz val="11"/>
        <color theme="1"/>
        <rFont val="Calibri"/>
        <family val="2"/>
        <scheme val="minor"/>
      </rPr>
      <t xml:space="preserve">
- Added clear and pivot-based KPI summaries to display overall case volume.
- Used conditional formatting to highlight key trends such as rising issues or priority dispositions.
</t>
    </r>
    <r>
      <rPr>
        <i/>
        <u/>
        <sz val="11"/>
        <color theme="1"/>
        <rFont val="Calibri"/>
        <family val="2"/>
        <scheme val="minor"/>
      </rPr>
      <t>Automation with VBA :</t>
    </r>
    <r>
      <rPr>
        <sz val="11"/>
        <color theme="1"/>
        <rFont val="Calibri"/>
        <family val="2"/>
        <scheme val="minor"/>
      </rPr>
      <t xml:space="preserve">
- Built a simple macro to export the dashboard as a PDF in one click.
- Set up VBA to auto-refresh all Pivot Tables when the file is opened and keeping data up-to-date without manual steps.</t>
    </r>
  </si>
  <si>
    <t>Excel - PivotTables, Data Validation, Dyanamic Dashboard, VBA Button, Slicers, VBA Macro, Auto-Refresh Pivot, Conditional Formatting, KPI cards, Save to PDF button, Excel Formulas, Interactive Filters, Mapping and Charts)</t>
  </si>
  <si>
    <t>This project shows my ability to take Ownership of raw dataset by cleaning it effectively and build an analytical tool from scratch with automation, interactivity and practical value for everyday decision-making.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</si>
</sst>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Red]0"/>
  </numFmts>
  <fonts count="16" x14ac:knownFonts="1">
    <font>
      <sz val="11"/>
      <color theme="1"/>
      <name val="Calibri"/>
      <family val="2"/>
      <scheme val="minor"/>
    </font>
    <font>
      <sz val="11"/>
      <color theme="1"/>
      <name val="Calibri"/>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b/>
      <sz val="16"/>
      <color theme="0"/>
      <name val="Segoe UI"/>
      <family val="2"/>
    </font>
    <font>
      <b/>
      <sz val="11"/>
      <color theme="1" tint="0.14999847407452621"/>
      <name val="Calibri"/>
      <family val="2"/>
      <scheme val="minor"/>
    </font>
    <font>
      <sz val="8"/>
      <name val="Calibri"/>
      <family val="2"/>
      <scheme val="minor"/>
    </font>
    <font>
      <b/>
      <sz val="18"/>
      <color theme="0"/>
      <name val="Segoe UI"/>
      <family val="2"/>
    </font>
    <font>
      <b/>
      <u/>
      <sz val="11"/>
      <color theme="1"/>
      <name val="Calibri"/>
      <family val="2"/>
      <scheme val="minor"/>
    </font>
    <font>
      <u/>
      <sz val="11"/>
      <name val="Calibri"/>
      <family val="2"/>
      <scheme val="minor"/>
    </font>
    <font>
      <b/>
      <sz val="14"/>
      <color theme="1"/>
      <name val="Calibri"/>
      <family val="2"/>
      <scheme val="minor"/>
    </font>
    <font>
      <sz val="10"/>
      <color theme="1"/>
      <name val="Calibri"/>
      <family val="2"/>
      <scheme val="minor"/>
    </font>
    <font>
      <i/>
      <u/>
      <sz val="11"/>
      <color theme="1"/>
      <name val="Calibri"/>
      <family val="2"/>
      <scheme val="minor"/>
    </font>
    <font>
      <b/>
      <i/>
      <sz val="11"/>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FF99"/>
        <bgColor indexed="64"/>
      </patternFill>
    </fill>
    <fill>
      <patternFill patternType="solid">
        <fgColor theme="0"/>
        <bgColor indexed="64"/>
      </patternFill>
    </fill>
  </fills>
  <borders count="25">
    <border>
      <left/>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double">
        <color theme="1" tint="0.499984740745262"/>
      </right>
      <top/>
      <bottom/>
      <diagonal/>
    </border>
    <border>
      <left/>
      <right/>
      <top/>
      <bottom style="double">
        <color theme="1" tint="0.499984740745262"/>
      </bottom>
      <diagonal/>
    </border>
    <border>
      <left/>
      <right style="double">
        <color theme="1" tint="0.499984740745262"/>
      </right>
      <top/>
      <bottom style="double">
        <color theme="1" tint="0.499984740745262"/>
      </bottom>
      <diagonal/>
    </border>
    <border>
      <left style="thin">
        <color theme="0" tint="-0.249977111117893"/>
      </left>
      <right style="thin">
        <color theme="0" tint="-0.249977111117893"/>
      </right>
      <top style="thin">
        <color theme="0" tint="-0.249977111117893"/>
      </top>
      <bottom style="double">
        <color theme="1" tint="0.499984740745262"/>
      </bottom>
      <diagonal/>
    </border>
    <border>
      <left style="thin">
        <color theme="1" tint="0.499984740745262"/>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double">
        <color theme="1" tint="0.499984740745262"/>
      </top>
      <bottom/>
      <diagonal/>
    </border>
    <border>
      <left/>
      <right style="double">
        <color theme="1" tint="0.499984740745262"/>
      </right>
      <top style="double">
        <color theme="1" tint="0.49998474074526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s>
  <cellStyleXfs count="3">
    <xf numFmtId="0" fontId="0" fillId="0" borderId="0"/>
    <xf numFmtId="0" fontId="1" fillId="0" borderId="0"/>
    <xf numFmtId="0" fontId="2" fillId="0" borderId="3"/>
  </cellStyleXfs>
  <cellXfs count="91">
    <xf numFmtId="0" fontId="0" fillId="0" borderId="0" xfId="0"/>
    <xf numFmtId="0" fontId="0" fillId="0" borderId="0" xfId="0" applyAlignment="1">
      <alignment wrapText="1"/>
    </xf>
    <xf numFmtId="14" fontId="0" fillId="0" borderId="0" xfId="0" applyNumberFormat="1" applyAlignment="1">
      <alignment horizontal="right"/>
    </xf>
    <xf numFmtId="0" fontId="3" fillId="3" borderId="5" xfId="0" applyFont="1" applyFill="1" applyBorder="1"/>
    <xf numFmtId="0" fontId="3" fillId="3" borderId="4" xfId="0" applyFont="1" applyFill="1" applyBorder="1"/>
    <xf numFmtId="0" fontId="3" fillId="3" borderId="6" xfId="0" applyFont="1" applyFill="1" applyBorder="1"/>
    <xf numFmtId="0" fontId="0" fillId="0" borderId="7" xfId="0" applyBorder="1"/>
    <xf numFmtId="0" fontId="0" fillId="0" borderId="8" xfId="0" applyBorder="1"/>
    <xf numFmtId="0" fontId="5" fillId="6" borderId="9" xfId="0" applyFont="1" applyFill="1" applyBorder="1"/>
    <xf numFmtId="0" fontId="0" fillId="0" borderId="11" xfId="0" applyBorder="1"/>
    <xf numFmtId="0" fontId="5" fillId="6" borderId="13" xfId="0" applyFont="1" applyFill="1" applyBorder="1"/>
    <xf numFmtId="10" fontId="5" fillId="6" borderId="13" xfId="0" applyNumberFormat="1" applyFont="1" applyFill="1" applyBorder="1"/>
    <xf numFmtId="0" fontId="4" fillId="0" borderId="0" xfId="0" applyFont="1"/>
    <xf numFmtId="14" fontId="4" fillId="0" borderId="0" xfId="0" applyNumberFormat="1" applyFont="1" applyAlignment="1">
      <alignment horizontal="right"/>
    </xf>
    <xf numFmtId="0" fontId="4" fillId="0" borderId="0" xfId="0" applyFont="1" applyAlignment="1">
      <alignment horizontal="center"/>
    </xf>
    <xf numFmtId="0" fontId="4" fillId="0" borderId="0" xfId="0" applyFont="1" applyAlignment="1">
      <alignment horizontal="right" vertical="center"/>
    </xf>
    <xf numFmtId="0" fontId="4" fillId="0" borderId="0" xfId="0" applyFont="1" applyAlignment="1">
      <alignment horizontal="left"/>
    </xf>
    <xf numFmtId="0" fontId="4" fillId="0" borderId="0" xfId="0" applyFont="1" applyAlignment="1">
      <alignment horizontal="left" wrapText="1"/>
    </xf>
    <xf numFmtId="0" fontId="4" fillId="0" borderId="0" xfId="0" applyFont="1" applyAlignment="1">
      <alignment horizontal="center" wrapText="1"/>
    </xf>
    <xf numFmtId="0" fontId="4" fillId="0" borderId="0" xfId="0" applyFont="1" applyAlignment="1">
      <alignment wrapText="1"/>
    </xf>
    <xf numFmtId="14" fontId="4" fillId="0" borderId="0" xfId="0" applyNumberFormat="1" applyFont="1" applyAlignment="1">
      <alignment horizontal="right" wrapText="1"/>
    </xf>
    <xf numFmtId="0" fontId="0" fillId="0" borderId="18" xfId="0" applyBorder="1"/>
    <xf numFmtId="0" fontId="10" fillId="3" borderId="3" xfId="0" applyFont="1" applyFill="1" applyBorder="1" applyAlignment="1">
      <alignment horizontal="center" vertical="center"/>
    </xf>
    <xf numFmtId="0" fontId="11" fillId="3" borderId="3" xfId="0" applyFont="1" applyFill="1" applyBorder="1"/>
    <xf numFmtId="0" fontId="0" fillId="0" borderId="16" xfId="0" applyBorder="1"/>
    <xf numFmtId="14" fontId="0" fillId="0" borderId="22" xfId="0" applyNumberFormat="1" applyBorder="1" applyAlignment="1">
      <alignment horizontal="left"/>
    </xf>
    <xf numFmtId="14" fontId="0" fillId="0" borderId="23" xfId="0" applyNumberFormat="1"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 xfId="0" applyBorder="1" applyAlignment="1">
      <alignment horizontal="left"/>
    </xf>
    <xf numFmtId="0" fontId="0" fillId="0" borderId="22" xfId="0" applyBorder="1"/>
    <xf numFmtId="0" fontId="0" fillId="0" borderId="23" xfId="0" applyBorder="1"/>
    <xf numFmtId="0" fontId="0" fillId="0" borderId="1" xfId="0" applyBorder="1"/>
    <xf numFmtId="0" fontId="0" fillId="0" borderId="3" xfId="0" pivotButton="1" applyBorder="1"/>
    <xf numFmtId="0" fontId="0" fillId="0" borderId="3" xfId="0" applyBorder="1" applyAlignment="1">
      <alignment horizontal="left"/>
    </xf>
    <xf numFmtId="0" fontId="0" fillId="0" borderId="3" xfId="0" applyBorder="1"/>
    <xf numFmtId="0" fontId="0" fillId="0" borderId="0" xfId="0" applyAlignment="1">
      <alignment horizontal="center" vertical="center"/>
    </xf>
    <xf numFmtId="0" fontId="4" fillId="3" borderId="18" xfId="0" applyFont="1" applyFill="1" applyBorder="1" applyAlignment="1">
      <alignment horizontal="center" vertical="center"/>
    </xf>
    <xf numFmtId="0" fontId="4" fillId="3"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164" fontId="4" fillId="3" borderId="1" xfId="0" applyNumberFormat="1" applyFont="1" applyFill="1" applyBorder="1" applyAlignment="1">
      <alignment horizontal="center" vertical="center"/>
    </xf>
    <xf numFmtId="0" fontId="4" fillId="3" borderId="2" xfId="0" applyFont="1" applyFill="1" applyBorder="1" applyAlignment="1">
      <alignment horizontal="center" vertical="center"/>
    </xf>
    <xf numFmtId="0" fontId="0" fillId="0" borderId="6" xfId="0" applyBorder="1"/>
    <xf numFmtId="0" fontId="0" fillId="0" borderId="19" xfId="0" applyBorder="1"/>
    <xf numFmtId="14" fontId="0" fillId="0" borderId="1" xfId="0" applyNumberFormat="1" applyBorder="1" applyAlignment="1">
      <alignment horizontal="left"/>
    </xf>
    <xf numFmtId="14" fontId="0" fillId="0" borderId="3" xfId="0" applyNumberFormat="1" applyBorder="1" applyAlignment="1">
      <alignment horizontal="left"/>
    </xf>
    <xf numFmtId="0" fontId="0" fillId="5" borderId="3" xfId="0" applyFill="1" applyBorder="1"/>
    <xf numFmtId="0" fontId="5" fillId="0" borderId="0" xfId="0" applyFont="1"/>
    <xf numFmtId="0" fontId="0" fillId="0" borderId="0" xfId="0" applyAlignment="1">
      <alignment horizontal="center"/>
    </xf>
    <xf numFmtId="0" fontId="10" fillId="3" borderId="19" xfId="0" applyFont="1" applyFill="1" applyBorder="1" applyAlignment="1">
      <alignment horizontal="center"/>
    </xf>
    <xf numFmtId="0" fontId="10" fillId="3" borderId="16" xfId="0" applyFont="1" applyFill="1" applyBorder="1" applyAlignment="1">
      <alignment horizontal="center"/>
    </xf>
    <xf numFmtId="0" fontId="10" fillId="3" borderId="15" xfId="0" applyFont="1" applyFill="1" applyBorder="1" applyAlignment="1">
      <alignment horizont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7" fillId="2" borderId="17" xfId="0" applyFont="1" applyFill="1" applyBorder="1" applyAlignment="1">
      <alignment horizontal="center"/>
    </xf>
    <xf numFmtId="0" fontId="7" fillId="2" borderId="14" xfId="0" applyFont="1" applyFill="1" applyBorder="1" applyAlignment="1">
      <alignment horizontal="center"/>
    </xf>
    <xf numFmtId="0" fontId="9" fillId="4" borderId="19" xfId="0" applyFont="1" applyFill="1" applyBorder="1" applyAlignment="1">
      <alignment horizontal="center"/>
    </xf>
    <xf numFmtId="0" fontId="6" fillId="4" borderId="15" xfId="0" applyFont="1" applyFill="1" applyBorder="1" applyAlignment="1">
      <alignment horizontal="center"/>
    </xf>
    <xf numFmtId="0" fontId="6" fillId="4" borderId="16" xfId="0" applyFont="1" applyFill="1" applyBorder="1" applyAlignment="1">
      <alignment horizontal="center"/>
    </xf>
    <xf numFmtId="0" fontId="0" fillId="0" borderId="4" xfId="0" applyBorder="1" applyAlignment="1">
      <alignment horizontal="center"/>
    </xf>
    <xf numFmtId="0" fontId="0" fillId="2" borderId="5" xfId="0" applyFill="1" applyBorder="1" applyAlignment="1">
      <alignment horizontal="left" vertical="center" wrapText="1"/>
    </xf>
    <xf numFmtId="0" fontId="0" fillId="2" borderId="4" xfId="0" applyFill="1" applyBorder="1" applyAlignment="1">
      <alignment horizontal="left" vertical="center" wrapText="1"/>
    </xf>
    <xf numFmtId="0" fontId="0" fillId="2" borderId="6" xfId="0" applyFill="1" applyBorder="1" applyAlignment="1">
      <alignment horizontal="left" vertical="center" wrapText="1"/>
    </xf>
    <xf numFmtId="0" fontId="0" fillId="2" borderId="7" xfId="0" applyFill="1" applyBorder="1" applyAlignment="1">
      <alignment horizontal="left" vertical="center" wrapText="1"/>
    </xf>
    <xf numFmtId="0" fontId="0" fillId="2" borderId="0" xfId="0" applyFill="1" applyAlignment="1">
      <alignment horizontal="left" vertical="center" wrapText="1"/>
    </xf>
    <xf numFmtId="0" fontId="0" fillId="2" borderId="8" xfId="0" applyFill="1" applyBorder="1" applyAlignment="1">
      <alignment horizontal="left" vertical="center" wrapText="1"/>
    </xf>
    <xf numFmtId="0" fontId="0" fillId="2" borderId="24" xfId="0" applyFill="1" applyBorder="1" applyAlignment="1">
      <alignment horizontal="left" vertical="center" wrapText="1"/>
    </xf>
    <xf numFmtId="0" fontId="0" fillId="2" borderId="2" xfId="0" applyFill="1" applyBorder="1" applyAlignment="1">
      <alignment horizontal="left" vertical="center" wrapText="1"/>
    </xf>
    <xf numFmtId="0" fontId="0" fillId="2" borderId="18" xfId="0" applyFill="1" applyBorder="1" applyAlignment="1">
      <alignment horizontal="left" vertical="center" wrapText="1"/>
    </xf>
    <xf numFmtId="0" fontId="12" fillId="3" borderId="5"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6" xfId="0" applyFont="1" applyFill="1" applyBorder="1" applyAlignment="1">
      <alignment horizontal="center" vertical="center"/>
    </xf>
    <xf numFmtId="0" fontId="12" fillId="3" borderId="24"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18" xfId="0" applyFont="1" applyFill="1" applyBorder="1" applyAlignment="1">
      <alignment horizontal="center" vertical="center"/>
    </xf>
    <xf numFmtId="0" fontId="13" fillId="3" borderId="5" xfId="0" applyFont="1" applyFill="1" applyBorder="1" applyAlignment="1">
      <alignment horizontal="center"/>
    </xf>
    <xf numFmtId="0" fontId="0" fillId="3" borderId="6" xfId="0" applyFill="1" applyBorder="1" applyAlignment="1">
      <alignment horizontal="center"/>
    </xf>
    <xf numFmtId="0" fontId="13" fillId="3" borderId="6" xfId="0" applyFont="1" applyFill="1" applyBorder="1" applyAlignment="1">
      <alignment horizontal="center"/>
    </xf>
    <xf numFmtId="0" fontId="0" fillId="2" borderId="5" xfId="0" applyFill="1" applyBorder="1" applyAlignment="1">
      <alignment horizontal="center" vertical="center" wrapText="1"/>
    </xf>
    <xf numFmtId="0" fontId="0" fillId="2" borderId="4" xfId="0" applyFill="1" applyBorder="1" applyAlignment="1">
      <alignment horizontal="center" vertical="center" wrapText="1"/>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2" borderId="0" xfId="0" applyFill="1" applyAlignment="1">
      <alignment horizontal="center" vertical="center" wrapText="1"/>
    </xf>
    <xf numFmtId="0" fontId="0" fillId="2" borderId="8" xfId="0" applyFill="1" applyBorder="1" applyAlignment="1">
      <alignment horizontal="center" vertical="center" wrapText="1"/>
    </xf>
    <xf numFmtId="0" fontId="0" fillId="2" borderId="24" xfId="0" applyFill="1" applyBorder="1" applyAlignment="1">
      <alignment horizontal="center" vertical="center" wrapText="1"/>
    </xf>
    <xf numFmtId="0" fontId="0" fillId="2" borderId="2" xfId="0" applyFill="1" applyBorder="1" applyAlignment="1">
      <alignment horizontal="center" vertical="center" wrapText="1"/>
    </xf>
    <xf numFmtId="0" fontId="0" fillId="2" borderId="18" xfId="0" applyFill="1" applyBorder="1" applyAlignment="1">
      <alignment horizontal="center" vertical="center" wrapText="1"/>
    </xf>
  </cellXfs>
  <cellStyles count="3">
    <cellStyle name="Normal" xfId="0" builtinId="0"/>
    <cellStyle name="Normal 2" xfId="1" xr:uid="{00000000-0005-0000-0000-000002000000}"/>
    <cellStyle name="Style 1" xfId="2" xr:uid="{A1304161-233B-41B4-8DB0-343E8F1B7C99}"/>
  </cellStyles>
  <dxfs count="81">
    <dxf>
      <border>
        <right style="thin">
          <color indexed="64"/>
        </right>
      </border>
    </dxf>
    <dxf>
      <border>
        <top style="thin">
          <color indexed="64"/>
        </top>
        <bottom style="thin">
          <color indexed="64"/>
        </bottom>
      </border>
    </dxf>
    <dxf>
      <border>
        <top style="thin">
          <color indexed="64"/>
        </top>
        <bottom style="thin">
          <color indexed="64"/>
        </bottom>
      </border>
    </dxf>
    <dxf>
      <border>
        <right style="thin">
          <color indexed="64"/>
        </right>
        <bottom style="thin">
          <color indexed="64"/>
        </bottom>
      </border>
    </dxf>
    <dxf>
      <font>
        <u/>
      </font>
    </dxf>
    <dxf>
      <alignment vertic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FF00"/>
        </patternFill>
      </fill>
    </dxf>
    <dxf>
      <font>
        <b/>
      </font>
    </dxf>
    <dxf>
      <border>
        <right style="thin">
          <color indexed="64"/>
        </right>
      </border>
    </dxf>
    <dxf>
      <border>
        <right style="thin">
          <color indexed="64"/>
        </right>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border>
    </dxf>
    <dxf>
      <border>
        <right style="thin">
          <color indexed="64"/>
        </right>
      </border>
    </dxf>
    <dxf>
      <border>
        <bottom style="thin">
          <color indexed="64"/>
        </bottom>
      </border>
    </dxf>
    <dxf>
      <border>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right style="thin">
          <color indexed="64"/>
        </right>
      </border>
    </dxf>
    <dxf>
      <border>
        <top style="thin">
          <color indexed="64"/>
        </top>
        <bottom style="thin">
          <color indexed="64"/>
        </bottom>
      </border>
    </dxf>
    <dxf>
      <border>
        <top style="thin">
          <color indexed="64"/>
        </top>
        <bottom style="thin">
          <color indexed="64"/>
        </bottom>
      </border>
    </dxf>
    <dxf>
      <font>
        <u/>
      </font>
    </dxf>
    <dxf>
      <font>
        <color auto="1"/>
      </font>
    </dxf>
    <dxf>
      <border>
        <right style="thin">
          <color indexed="64"/>
        </right>
        <bottom style="thin">
          <color indexed="64"/>
        </bottom>
      </border>
    </dxf>
    <dxf>
      <font>
        <u/>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FFFF00"/>
        </patternFill>
      </fill>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0" formatCode="General"/>
    </dxf>
    <dxf>
      <font>
        <strike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color auto="1"/>
        <name val="Calibri"/>
        <family val="2"/>
        <scheme val="minor"/>
      </font>
      <numFmt numFmtId="19" formatCode="dd/mm/yyyy"/>
      <alignment horizontal="right" vertical="bottom" textRotation="0" wrapText="0" indent="0" justifyLastLine="0" shrinkToFit="0" readingOrder="0"/>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alignment horizontal="center" vertical="center" textRotation="0" wrapText="0" indent="0" justifyLastLine="0" shrinkToFit="0" readingOrder="0"/>
    </dxf>
  </dxfs>
  <tableStyles count="1" defaultTableStyle="TableStyleMedium2" defaultPivotStyle="PivotStyleLight16">
    <tableStyle name="Table Style 1" pivot="0" count="0" xr9:uid="{B48DE210-8570-4ED4-8445-F62927537C4E}"/>
  </tableStyles>
  <colors>
    <mruColors>
      <color rgb="FFFFFF99"/>
      <color rgb="FFCCCCFF"/>
      <color rgb="FFFFCCCC"/>
      <color rgb="FFFF0066"/>
      <color rgb="FFCC33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microsoft.com/office/2007/relationships/slicerCache" Target="slicerCaches/slicerCache9.xml"/><Relationship Id="rId2" Type="http://schemas.openxmlformats.org/officeDocument/2006/relationships/worksheet" Target="worksheets/sheet2.xml"/><Relationship Id="rId16" Type="http://schemas.microsoft.com/office/2007/relationships/slicerCache" Target="slicerCaches/slicerCache8.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7/relationships/slicerCache" Target="slicerCaches/slicerCache7.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[Case Dashboard - Excel Mock Project.xlsm]PivotTable!PivotTable3</c:name>
    <c:fmtId val="2"/>
  </c:pivotSource>
  <c:chart>
    <c:title>
      <c:tx>
        <c:rich>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r>
              <a:rPr lang="en-US" i="1"/>
              <a:t>Weekly Case Trend</a:t>
            </a:r>
          </a:p>
        </c:rich>
      </c:tx>
      <c:layout>
        <c:manualLayout>
          <c:xMode val="edge"/>
          <c:yMode val="edge"/>
          <c:x val="0.3441081577050194"/>
          <c:y val="0.10906969962088073"/>
        </c:manualLayout>
      </c:layout>
      <c:overlay val="0"/>
      <c:spPr>
        <a:solidFill>
          <a:srgbClr val="FFFF99"/>
        </a:solidFill>
        <a:ln>
          <a:noFill/>
        </a:ln>
        <a:effectLst/>
      </c:spPr>
      <c:txPr>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PivotTable!$M$3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PivotTable!$L$4:$L$21</c:f>
              <c:strCache>
                <c:ptCount val="17"/>
                <c:pt idx="0">
                  <c:v>02-01-2025 - 08-01-2025</c:v>
                </c:pt>
                <c:pt idx="1">
                  <c:v>09-01-2025 - 15-01-2025</c:v>
                </c:pt>
                <c:pt idx="2">
                  <c:v>16-01-2025 - 22-01-2025</c:v>
                </c:pt>
                <c:pt idx="3">
                  <c:v>23-01-2025 - 29-01-2025</c:v>
                </c:pt>
                <c:pt idx="4">
                  <c:v>30-01-2025 - 05-02-2025</c:v>
                </c:pt>
                <c:pt idx="5">
                  <c:v>06-02-2025 - 12-02-2025</c:v>
                </c:pt>
                <c:pt idx="6">
                  <c:v>13-02-2025 - 19-02-2025</c:v>
                </c:pt>
                <c:pt idx="7">
                  <c:v>20-02-2025 - 26-02-2025</c:v>
                </c:pt>
                <c:pt idx="8">
                  <c:v>27-02-2025 - 05-03-2025</c:v>
                </c:pt>
                <c:pt idx="9">
                  <c:v>27-03-2025 - 02-04-2025</c:v>
                </c:pt>
                <c:pt idx="10">
                  <c:v>01-05-2025 - 07-05-2025</c:v>
                </c:pt>
                <c:pt idx="11">
                  <c:v>29-05-2025 - 04-06-2025</c:v>
                </c:pt>
                <c:pt idx="12">
                  <c:v>12-06-2025 - 18-06-2025</c:v>
                </c:pt>
                <c:pt idx="13">
                  <c:v>19-06-2025 - 25-06-2025</c:v>
                </c:pt>
                <c:pt idx="14">
                  <c:v>26-06-2025 - 02-07-2025</c:v>
                </c:pt>
                <c:pt idx="15">
                  <c:v>30-10-2025 - 05-11-2025</c:v>
                </c:pt>
                <c:pt idx="16">
                  <c:v>27-11-2025 - 03-12-2025</c:v>
                </c:pt>
              </c:strCache>
            </c:strRef>
          </c:cat>
          <c:val>
            <c:numRef>
              <c:f>PivotTable!$M$4:$M$21</c:f>
              <c:numCache>
                <c:formatCode>General</c:formatCode>
                <c:ptCount val="17"/>
                <c:pt idx="0">
                  <c:v>324</c:v>
                </c:pt>
                <c:pt idx="1">
                  <c:v>943</c:v>
                </c:pt>
                <c:pt idx="2">
                  <c:v>1604</c:v>
                </c:pt>
                <c:pt idx="3">
                  <c:v>1180</c:v>
                </c:pt>
                <c:pt idx="4">
                  <c:v>381</c:v>
                </c:pt>
                <c:pt idx="5">
                  <c:v>4</c:v>
                </c:pt>
                <c:pt idx="6">
                  <c:v>1251</c:v>
                </c:pt>
                <c:pt idx="7">
                  <c:v>1959</c:v>
                </c:pt>
                <c:pt idx="8">
                  <c:v>723</c:v>
                </c:pt>
                <c:pt idx="9">
                  <c:v>189</c:v>
                </c:pt>
                <c:pt idx="10">
                  <c:v>209</c:v>
                </c:pt>
                <c:pt idx="11">
                  <c:v>299</c:v>
                </c:pt>
                <c:pt idx="12">
                  <c:v>1123</c:v>
                </c:pt>
                <c:pt idx="13">
                  <c:v>1322</c:v>
                </c:pt>
                <c:pt idx="14">
                  <c:v>785</c:v>
                </c:pt>
                <c:pt idx="15">
                  <c:v>405</c:v>
                </c:pt>
                <c:pt idx="16">
                  <c:v>434</c:v>
                </c:pt>
              </c:numCache>
            </c:numRef>
          </c:val>
          <c:smooth val="0"/>
          <c:extLst>
            <c:ext xmlns:c16="http://schemas.microsoft.com/office/drawing/2014/chart" uri="{C3380CC4-5D6E-409C-BE32-E72D297353CC}">
              <c16:uniqueId val="{00000000-19DC-4063-B822-018D637E715C}"/>
            </c:ext>
          </c:extLst>
        </c:ser>
        <c:dLbls>
          <c:showLegendKey val="0"/>
          <c:showVal val="0"/>
          <c:showCatName val="0"/>
          <c:showSerName val="0"/>
          <c:showPercent val="0"/>
          <c:showBubbleSize val="0"/>
        </c:dLbls>
        <c:marker val="1"/>
        <c:smooth val="0"/>
        <c:axId val="153650496"/>
        <c:axId val="424386752"/>
      </c:lineChart>
      <c:catAx>
        <c:axId val="1536504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86752"/>
        <c:crosses val="autoZero"/>
        <c:auto val="1"/>
        <c:lblAlgn val="ctr"/>
        <c:lblOffset val="100"/>
        <c:noMultiLvlLbl val="0"/>
      </c:catAx>
      <c:valAx>
        <c:axId val="424386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50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165100</xdr:colOff>
      <xdr:row>6</xdr:row>
      <xdr:rowOff>76200</xdr:rowOff>
    </xdr:from>
    <xdr:to>
      <xdr:col>2</xdr:col>
      <xdr:colOff>1993900</xdr:colOff>
      <xdr:row>20</xdr:row>
      <xdr:rowOff>22225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94C64C96-563C-410F-8FDC-1517EF61AFD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879600" y="1181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615950</xdr:colOff>
      <xdr:row>7</xdr:row>
      <xdr:rowOff>101600</xdr:rowOff>
    </xdr:from>
    <xdr:to>
      <xdr:col>2</xdr:col>
      <xdr:colOff>2444750</xdr:colOff>
      <xdr:row>21</xdr:row>
      <xdr:rowOff>47625</xdr:rowOff>
    </xdr:to>
    <mc:AlternateContent xmlns:mc="http://schemas.openxmlformats.org/markup-compatibility/2006" xmlns:a14="http://schemas.microsoft.com/office/drawing/2010/main">
      <mc:Choice Requires="a14">
        <xdr:graphicFrame macro="">
          <xdr:nvGraphicFramePr>
            <xdr:cNvPr id="3" name="Skill">
              <a:extLst>
                <a:ext uri="{FF2B5EF4-FFF2-40B4-BE49-F238E27FC236}">
                  <a16:creationId xmlns:a16="http://schemas.microsoft.com/office/drawing/2014/main" id="{D5E0B3F1-1794-4F66-80F0-9D25A3296017}"/>
                </a:ext>
              </a:extLst>
            </xdr:cNvPr>
            <xdr:cNvGraphicFramePr/>
          </xdr:nvGraphicFramePr>
          <xdr:xfrm>
            <a:off x="0" y="0"/>
            <a:ext cx="0" cy="0"/>
          </xdr:xfrm>
          <a:graphic>
            <a:graphicData uri="http://schemas.microsoft.com/office/drawing/2010/slicer">
              <sle:slicer xmlns:sle="http://schemas.microsoft.com/office/drawing/2010/slicer" name="Skill"/>
            </a:graphicData>
          </a:graphic>
        </xdr:graphicFrame>
      </mc:Choice>
      <mc:Fallback xmlns="">
        <xdr:sp macro="" textlink="">
          <xdr:nvSpPr>
            <xdr:cNvPr id="0" name=""/>
            <xdr:cNvSpPr>
              <a:spLocks noTextEdit="1"/>
            </xdr:cNvSpPr>
          </xdr:nvSpPr>
          <xdr:spPr>
            <a:xfrm>
              <a:off x="2330450" y="1390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158750</xdr:colOff>
      <xdr:row>5</xdr:row>
      <xdr:rowOff>107950</xdr:rowOff>
    </xdr:from>
    <xdr:to>
      <xdr:col>6</xdr:col>
      <xdr:colOff>1987550</xdr:colOff>
      <xdr:row>19</xdr:row>
      <xdr:rowOff>53975</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A3F8A1FB-C00C-492F-B928-274D1F4F1C8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607300"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457200</xdr:colOff>
      <xdr:row>6</xdr:row>
      <xdr:rowOff>165100</xdr:rowOff>
    </xdr:from>
    <xdr:to>
      <xdr:col>6</xdr:col>
      <xdr:colOff>2286000</xdr:colOff>
      <xdr:row>20</xdr:row>
      <xdr:rowOff>111125</xdr:rowOff>
    </xdr:to>
    <mc:AlternateContent xmlns:mc="http://schemas.openxmlformats.org/markup-compatibility/2006" xmlns:a14="http://schemas.microsoft.com/office/drawing/2010/main">
      <mc:Choice Requires="a14">
        <xdr:graphicFrame macro="">
          <xdr:nvGraphicFramePr>
            <xdr:cNvPr id="5" name="Case Disposition">
              <a:extLst>
                <a:ext uri="{FF2B5EF4-FFF2-40B4-BE49-F238E27FC236}">
                  <a16:creationId xmlns:a16="http://schemas.microsoft.com/office/drawing/2014/main" id="{6BDF267B-ED3D-4544-8494-4A09589DE8FA}"/>
                </a:ext>
              </a:extLst>
            </xdr:cNvPr>
            <xdr:cNvGraphicFramePr/>
          </xdr:nvGraphicFramePr>
          <xdr:xfrm>
            <a:off x="0" y="0"/>
            <a:ext cx="0" cy="0"/>
          </xdr:xfrm>
          <a:graphic>
            <a:graphicData uri="http://schemas.microsoft.com/office/drawing/2010/slicer">
              <sle:slicer xmlns:sle="http://schemas.microsoft.com/office/drawing/2010/slicer" name="Case Disposition"/>
            </a:graphicData>
          </a:graphic>
        </xdr:graphicFrame>
      </mc:Choice>
      <mc:Fallback xmlns="">
        <xdr:sp macro="" textlink="">
          <xdr:nvSpPr>
            <xdr:cNvPr id="0" name=""/>
            <xdr:cNvSpPr>
              <a:spLocks noTextEdit="1"/>
            </xdr:cNvSpPr>
          </xdr:nvSpPr>
          <xdr:spPr>
            <a:xfrm>
              <a:off x="7905750" y="1270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857250</xdr:colOff>
      <xdr:row>8</xdr:row>
      <xdr:rowOff>38100</xdr:rowOff>
    </xdr:from>
    <xdr:to>
      <xdr:col>6</xdr:col>
      <xdr:colOff>2686050</xdr:colOff>
      <xdr:row>21</xdr:row>
      <xdr:rowOff>168275</xdr:rowOff>
    </xdr:to>
    <mc:AlternateContent xmlns:mc="http://schemas.openxmlformats.org/markup-compatibility/2006" xmlns:a14="http://schemas.microsoft.com/office/drawing/2010/main">
      <mc:Choice Requires="a14">
        <xdr:graphicFrame macro="">
          <xdr:nvGraphicFramePr>
            <xdr:cNvPr id="6" name="Skill 1">
              <a:extLst>
                <a:ext uri="{FF2B5EF4-FFF2-40B4-BE49-F238E27FC236}">
                  <a16:creationId xmlns:a16="http://schemas.microsoft.com/office/drawing/2014/main" id="{AE34035F-F53B-4B0E-9A20-FA5A486BE706}"/>
                </a:ext>
              </a:extLst>
            </xdr:cNvPr>
            <xdr:cNvGraphicFramePr/>
          </xdr:nvGraphicFramePr>
          <xdr:xfrm>
            <a:off x="0" y="0"/>
            <a:ext cx="0" cy="0"/>
          </xdr:xfrm>
          <a:graphic>
            <a:graphicData uri="http://schemas.microsoft.com/office/drawing/2010/slicer">
              <sle:slicer xmlns:sle="http://schemas.microsoft.com/office/drawing/2010/slicer" name="Skill 1"/>
            </a:graphicData>
          </a:graphic>
        </xdr:graphicFrame>
      </mc:Choice>
      <mc:Fallback xmlns="">
        <xdr:sp macro="" textlink="">
          <xdr:nvSpPr>
            <xdr:cNvPr id="0" name=""/>
            <xdr:cNvSpPr>
              <a:spLocks noTextEdit="1"/>
            </xdr:cNvSpPr>
          </xdr:nvSpPr>
          <xdr:spPr>
            <a:xfrm>
              <a:off x="8305800" y="1511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1123950</xdr:colOff>
      <xdr:row>9</xdr:row>
      <xdr:rowOff>82550</xdr:rowOff>
    </xdr:from>
    <xdr:to>
      <xdr:col>6</xdr:col>
      <xdr:colOff>2952750</xdr:colOff>
      <xdr:row>23</xdr:row>
      <xdr:rowOff>28575</xdr:rowOff>
    </xdr:to>
    <mc:AlternateContent xmlns:mc="http://schemas.openxmlformats.org/markup-compatibility/2006" xmlns:a14="http://schemas.microsoft.com/office/drawing/2010/main">
      <mc:Choice Requires="a14">
        <xdr:graphicFrame macro="">
          <xdr:nvGraphicFramePr>
            <xdr:cNvPr id="7" name="Escalation">
              <a:extLst>
                <a:ext uri="{FF2B5EF4-FFF2-40B4-BE49-F238E27FC236}">
                  <a16:creationId xmlns:a16="http://schemas.microsoft.com/office/drawing/2014/main" id="{B47F923E-8B47-4140-9489-1E4593D65D11}"/>
                </a:ext>
              </a:extLst>
            </xdr:cNvPr>
            <xdr:cNvGraphicFramePr/>
          </xdr:nvGraphicFramePr>
          <xdr:xfrm>
            <a:off x="0" y="0"/>
            <a:ext cx="0" cy="0"/>
          </xdr:xfrm>
          <a:graphic>
            <a:graphicData uri="http://schemas.microsoft.com/office/drawing/2010/slicer">
              <sle:slicer xmlns:sle="http://schemas.microsoft.com/office/drawing/2010/slicer" name="Escalation"/>
            </a:graphicData>
          </a:graphic>
        </xdr:graphicFrame>
      </mc:Choice>
      <mc:Fallback xmlns="">
        <xdr:sp macro="" textlink="">
          <xdr:nvSpPr>
            <xdr:cNvPr id="0" name=""/>
            <xdr:cNvSpPr>
              <a:spLocks noTextEdit="1"/>
            </xdr:cNvSpPr>
          </xdr:nvSpPr>
          <xdr:spPr>
            <a:xfrm>
              <a:off x="8572500" y="1739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133350</xdr:colOff>
      <xdr:row>5</xdr:row>
      <xdr:rowOff>63500</xdr:rowOff>
    </xdr:from>
    <xdr:to>
      <xdr:col>9</xdr:col>
      <xdr:colOff>1962150</xdr:colOff>
      <xdr:row>19</xdr:row>
      <xdr:rowOff>9525</xdr:rowOff>
    </xdr:to>
    <mc:AlternateContent xmlns:mc="http://schemas.openxmlformats.org/markup-compatibility/2006" xmlns:a14="http://schemas.microsoft.com/office/drawing/2010/main">
      <mc:Choice Requires="a14">
        <xdr:graphicFrame macro="">
          <xdr:nvGraphicFramePr>
            <xdr:cNvPr id="8" name="Month 2">
              <a:extLst>
                <a:ext uri="{FF2B5EF4-FFF2-40B4-BE49-F238E27FC236}">
                  <a16:creationId xmlns:a16="http://schemas.microsoft.com/office/drawing/2014/main" id="{D316224B-78ED-43C5-9288-23CCAE54E4F6}"/>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2407900" y="98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552450</xdr:colOff>
      <xdr:row>6</xdr:row>
      <xdr:rowOff>146050</xdr:rowOff>
    </xdr:from>
    <xdr:to>
      <xdr:col>9</xdr:col>
      <xdr:colOff>2381250</xdr:colOff>
      <xdr:row>20</xdr:row>
      <xdr:rowOff>92075</xdr:rowOff>
    </xdr:to>
    <mc:AlternateContent xmlns:mc="http://schemas.openxmlformats.org/markup-compatibility/2006" xmlns:a14="http://schemas.microsoft.com/office/drawing/2010/main">
      <mc:Choice Requires="a14">
        <xdr:graphicFrame macro="">
          <xdr:nvGraphicFramePr>
            <xdr:cNvPr id="9" name="Count">
              <a:extLst>
                <a:ext uri="{FF2B5EF4-FFF2-40B4-BE49-F238E27FC236}">
                  <a16:creationId xmlns:a16="http://schemas.microsoft.com/office/drawing/2014/main" id="{C373E505-161D-4951-A773-F257E0D139B3}"/>
                </a:ext>
              </a:extLst>
            </xdr:cNvPr>
            <xdr:cNvGraphicFramePr/>
          </xdr:nvGraphicFramePr>
          <xdr:xfrm>
            <a:off x="0" y="0"/>
            <a:ext cx="0" cy="0"/>
          </xdr:xfrm>
          <a:graphic>
            <a:graphicData uri="http://schemas.microsoft.com/office/drawing/2010/slicer">
              <sle:slicer xmlns:sle="http://schemas.microsoft.com/office/drawing/2010/slicer" name="Count"/>
            </a:graphicData>
          </a:graphic>
        </xdr:graphicFrame>
      </mc:Choice>
      <mc:Fallback xmlns="">
        <xdr:sp macro="" textlink="">
          <xdr:nvSpPr>
            <xdr:cNvPr id="0" name=""/>
            <xdr:cNvSpPr>
              <a:spLocks noTextEdit="1"/>
            </xdr:cNvSpPr>
          </xdr:nvSpPr>
          <xdr:spPr>
            <a:xfrm>
              <a:off x="12827000" y="125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958850</xdr:colOff>
      <xdr:row>7</xdr:row>
      <xdr:rowOff>177800</xdr:rowOff>
    </xdr:from>
    <xdr:to>
      <xdr:col>9</xdr:col>
      <xdr:colOff>2787650</xdr:colOff>
      <xdr:row>21</xdr:row>
      <xdr:rowOff>123825</xdr:rowOff>
    </xdr:to>
    <mc:AlternateContent xmlns:mc="http://schemas.openxmlformats.org/markup-compatibility/2006" xmlns:a14="http://schemas.microsoft.com/office/drawing/2010/main">
      <mc:Choice Requires="a14">
        <xdr:graphicFrame macro="">
          <xdr:nvGraphicFramePr>
            <xdr:cNvPr id="10" name="Case Disposition 1">
              <a:extLst>
                <a:ext uri="{FF2B5EF4-FFF2-40B4-BE49-F238E27FC236}">
                  <a16:creationId xmlns:a16="http://schemas.microsoft.com/office/drawing/2014/main" id="{E223BD4F-A33B-4788-9F7F-71CA0A805198}"/>
                </a:ext>
              </a:extLst>
            </xdr:cNvPr>
            <xdr:cNvGraphicFramePr/>
          </xdr:nvGraphicFramePr>
          <xdr:xfrm>
            <a:off x="0" y="0"/>
            <a:ext cx="0" cy="0"/>
          </xdr:xfrm>
          <a:graphic>
            <a:graphicData uri="http://schemas.microsoft.com/office/drawing/2010/slicer">
              <sle:slicer xmlns:sle="http://schemas.microsoft.com/office/drawing/2010/slicer" name="Case Disposition 1"/>
            </a:graphicData>
          </a:graphic>
        </xdr:graphicFrame>
      </mc:Choice>
      <mc:Fallback xmlns="">
        <xdr:sp macro="" textlink="">
          <xdr:nvSpPr>
            <xdr:cNvPr id="0" name=""/>
            <xdr:cNvSpPr>
              <a:spLocks noTextEdit="1"/>
            </xdr:cNvSpPr>
          </xdr:nvSpPr>
          <xdr:spPr>
            <a:xfrm>
              <a:off x="13652500" y="1466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746302</xdr:colOff>
      <xdr:row>8</xdr:row>
      <xdr:rowOff>170627</xdr:rowOff>
    </xdr:from>
    <xdr:to>
      <xdr:col>5</xdr:col>
      <xdr:colOff>1006300</xdr:colOff>
      <xdr:row>11</xdr:row>
      <xdr:rowOff>38923</xdr:rowOff>
    </xdr:to>
    <xdr:sp macro="" textlink="">
      <xdr:nvSpPr>
        <xdr:cNvPr id="11" name="Arrow: Curved Up 10">
          <a:extLst>
            <a:ext uri="{FF2B5EF4-FFF2-40B4-BE49-F238E27FC236}">
              <a16:creationId xmlns:a16="http://schemas.microsoft.com/office/drawing/2014/main" id="{06539BA9-5F34-427F-803E-BC37FF9636CA}"/>
            </a:ext>
          </a:extLst>
        </xdr:cNvPr>
        <xdr:cNvSpPr/>
      </xdr:nvSpPr>
      <xdr:spPr>
        <a:xfrm rot="2429937">
          <a:off x="6143802" y="1643827"/>
          <a:ext cx="1110898" cy="420746"/>
        </a:xfrm>
        <a:prstGeom prst="curvedUp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9</xdr:col>
      <xdr:colOff>401175</xdr:colOff>
      <xdr:row>1</xdr:row>
      <xdr:rowOff>93006</xdr:rowOff>
    </xdr:from>
    <xdr:to>
      <xdr:col>9</xdr:col>
      <xdr:colOff>1350863</xdr:colOff>
      <xdr:row>3</xdr:row>
      <xdr:rowOff>129762</xdr:rowOff>
    </xdr:to>
    <xdr:sp macro="" textlink="">
      <xdr:nvSpPr>
        <xdr:cNvPr id="14" name="Arrow: Curved Down 13">
          <a:extLst>
            <a:ext uri="{FF2B5EF4-FFF2-40B4-BE49-F238E27FC236}">
              <a16:creationId xmlns:a16="http://schemas.microsoft.com/office/drawing/2014/main" id="{36A36A5C-1B98-401D-B92F-E008EB8C2E9E}"/>
            </a:ext>
          </a:extLst>
        </xdr:cNvPr>
        <xdr:cNvSpPr/>
      </xdr:nvSpPr>
      <xdr:spPr>
        <a:xfrm rot="2299123">
          <a:off x="12675725" y="277156"/>
          <a:ext cx="949688" cy="405056"/>
        </a:xfrm>
        <a:prstGeom prst="curvedDown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xdr:col>
      <xdr:colOff>393700</xdr:colOff>
      <xdr:row>1</xdr:row>
      <xdr:rowOff>120650</xdr:rowOff>
    </xdr:from>
    <xdr:to>
      <xdr:col>2</xdr:col>
      <xdr:colOff>1343388</xdr:colOff>
      <xdr:row>3</xdr:row>
      <xdr:rowOff>157406</xdr:rowOff>
    </xdr:to>
    <xdr:sp macro="" textlink="">
      <xdr:nvSpPr>
        <xdr:cNvPr id="23" name="Arrow: Curved Down 22">
          <a:extLst>
            <a:ext uri="{FF2B5EF4-FFF2-40B4-BE49-F238E27FC236}">
              <a16:creationId xmlns:a16="http://schemas.microsoft.com/office/drawing/2014/main" id="{B1082E0C-717F-4BD3-8F2C-2495F0BEEBEA}"/>
            </a:ext>
          </a:extLst>
        </xdr:cNvPr>
        <xdr:cNvSpPr/>
      </xdr:nvSpPr>
      <xdr:spPr>
        <a:xfrm rot="2299123">
          <a:off x="2260600" y="304800"/>
          <a:ext cx="949688" cy="405056"/>
        </a:xfrm>
        <a:prstGeom prst="curvedDown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330200</xdr:colOff>
      <xdr:row>2</xdr:row>
      <xdr:rowOff>127000</xdr:rowOff>
    </xdr:from>
    <xdr:to>
      <xdr:col>4</xdr:col>
      <xdr:colOff>965200</xdr:colOff>
      <xdr:row>4</xdr:row>
      <xdr:rowOff>57150</xdr:rowOff>
    </xdr:to>
    <xdr:sp macro="[0]!Sheet2.RefreshAllPivots" textlink="">
      <xdr:nvSpPr>
        <xdr:cNvPr id="2" name="Rectangle 1">
          <a:extLst>
            <a:ext uri="{FF2B5EF4-FFF2-40B4-BE49-F238E27FC236}">
              <a16:creationId xmlns:a16="http://schemas.microsoft.com/office/drawing/2014/main" id="{C33FDA6F-7997-484C-B484-30537A1AA600}"/>
            </a:ext>
          </a:extLst>
        </xdr:cNvPr>
        <xdr:cNvSpPr/>
      </xdr:nvSpPr>
      <xdr:spPr>
        <a:xfrm>
          <a:off x="2171700" y="711200"/>
          <a:ext cx="1936750" cy="298450"/>
        </a:xfrm>
        <a:prstGeom prst="rect">
          <a:avLst/>
        </a:prstGeom>
        <a:gradFill>
          <a:gsLst>
            <a:gs pos="47000">
              <a:srgbClr val="CCCCFF"/>
            </a:gs>
            <a:gs pos="90000">
              <a:schemeClr val="accent1">
                <a:lumMod val="45000"/>
                <a:lumOff val="55000"/>
              </a:schemeClr>
            </a:gs>
            <a:gs pos="100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1"/>
        <a:lstStyle/>
        <a:p>
          <a:pPr lvl="0" algn="ctr"/>
          <a:r>
            <a:rPr lang="en-US" sz="1200" b="1" i="1" u="none">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rPr>
            <a:t>Update</a:t>
          </a:r>
          <a:r>
            <a:rPr lang="en-US" sz="1200" b="1" i="1" u="none" baseline="0">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rPr>
            <a:t> Report</a:t>
          </a:r>
        </a:p>
        <a:p>
          <a:pPr lvl="0" algn="ctr"/>
          <a:endParaRPr lang="en-US" sz="900" b="1" i="1" u="none">
            <a:ln cmpd="dbl">
              <a:solidFill>
                <a:schemeClr val="tx1">
                  <a:lumMod val="65000"/>
                  <a:lumOff val="35000"/>
                </a:schemeClr>
              </a:solidFill>
            </a:ln>
            <a:solidFill>
              <a:schemeClr val="tx1">
                <a:lumMod val="85000"/>
                <a:lumOff val="15000"/>
              </a:schemeClr>
            </a:solidFill>
            <a:effectLst>
              <a:glow rad="228600">
                <a:srgbClr val="CCCCFF">
                  <a:alpha val="40000"/>
                </a:srgbClr>
              </a:glow>
              <a:outerShdw blurRad="50800" dist="38100" dir="2700000" algn="tl" rotWithShape="0">
                <a:schemeClr val="tx1">
                  <a:alpha val="40000"/>
                </a:schemeClr>
              </a:outerShdw>
            </a:effectLst>
          </a:endParaRPr>
        </a:p>
      </xdr:txBody>
    </xdr:sp>
    <xdr:clientData/>
  </xdr:twoCellAnchor>
  <xdr:twoCellAnchor>
    <xdr:from>
      <xdr:col>0</xdr:col>
      <xdr:colOff>196850</xdr:colOff>
      <xdr:row>7</xdr:row>
      <xdr:rowOff>12700</xdr:rowOff>
    </xdr:from>
    <xdr:to>
      <xdr:col>3</xdr:col>
      <xdr:colOff>3200</xdr:colOff>
      <xdr:row>13</xdr:row>
      <xdr:rowOff>167800</xdr:rowOff>
    </xdr:to>
    <xdr:sp macro="" textlink="Dashboard!F4">
      <xdr:nvSpPr>
        <xdr:cNvPr id="9" name="Rectangle: Diagonal Corners Rounded 8">
          <a:extLst>
            <a:ext uri="{FF2B5EF4-FFF2-40B4-BE49-F238E27FC236}">
              <a16:creationId xmlns:a16="http://schemas.microsoft.com/office/drawing/2014/main" id="{0C76E7E7-36B5-4258-B66E-BB2F608A20AA}"/>
            </a:ext>
          </a:extLst>
        </xdr:cNvPr>
        <xdr:cNvSpPr/>
      </xdr:nvSpPr>
      <xdr:spPr>
        <a:xfrm>
          <a:off x="196850" y="1530350"/>
          <a:ext cx="2340000" cy="1260000"/>
        </a:xfrm>
        <a:prstGeom prst="round2DiagRect">
          <a:avLst/>
        </a:prstGeom>
        <a:gradFill flip="none" rotWithShape="1">
          <a:gsLst>
            <a:gs pos="0">
              <a:schemeClr val="accent1">
                <a:lumMod val="5000"/>
                <a:lumOff val="95000"/>
              </a:schemeClr>
            </a:gs>
            <a:gs pos="30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t>Total</a:t>
          </a:r>
          <a:r>
            <a:rPr lang="en-US" sz="1600" b="0" i="0" u="none" strike="noStrike" baseline="0">
              <a:solidFill>
                <a:schemeClr val="tx1">
                  <a:lumMod val="65000"/>
                  <a:lumOff val="35000"/>
                </a:schemeClr>
              </a:solidFill>
              <a:latin typeface="Segoe UI" panose="020B0502040204020203" pitchFamily="34" charset="0"/>
              <a:ea typeface="Calibri"/>
              <a:cs typeface="Segoe UI" panose="020B0502040204020203" pitchFamily="34" charset="0"/>
            </a:rPr>
            <a:t> Cases</a:t>
          </a:r>
          <a:endParaRPr lang="en-US" sz="1100" b="0" i="0" u="none" strike="noStrike" baseline="0">
            <a:solidFill>
              <a:schemeClr val="tx1">
                <a:lumMod val="65000"/>
                <a:lumOff val="35000"/>
              </a:schemeClr>
            </a:solidFill>
            <a:latin typeface="Segoe UI" panose="020B0502040204020203" pitchFamily="34" charset="0"/>
            <a:ea typeface="Calibri"/>
            <a:cs typeface="Segoe UI" panose="020B0502040204020203" pitchFamily="34" charset="0"/>
          </a:endParaRPr>
        </a:p>
        <a:p>
          <a:pPr algn="ctr"/>
          <a:fld id="{C8BEC5AF-D2AE-4F55-8D85-615078099C02}"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131</a:t>
          </a:fld>
          <a:endParaRPr lang="en-US" sz="44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3</xdr:col>
      <xdr:colOff>127000</xdr:colOff>
      <xdr:row>7</xdr:row>
      <xdr:rowOff>19050</xdr:rowOff>
    </xdr:from>
    <xdr:to>
      <xdr:col>5</xdr:col>
      <xdr:colOff>523900</xdr:colOff>
      <xdr:row>13</xdr:row>
      <xdr:rowOff>174150</xdr:rowOff>
    </xdr:to>
    <xdr:sp macro="" textlink="Dashboard!F5">
      <xdr:nvSpPr>
        <xdr:cNvPr id="10" name="Rectangle: Diagonal Corners Rounded 9">
          <a:extLst>
            <a:ext uri="{FF2B5EF4-FFF2-40B4-BE49-F238E27FC236}">
              <a16:creationId xmlns:a16="http://schemas.microsoft.com/office/drawing/2014/main" id="{6860D3AD-5668-469E-A19A-38C813677456}"/>
            </a:ext>
          </a:extLst>
        </xdr:cNvPr>
        <xdr:cNvSpPr/>
      </xdr:nvSpPr>
      <xdr:spPr>
        <a:xfrm>
          <a:off x="2660650" y="1536700"/>
          <a:ext cx="2340000" cy="1260000"/>
        </a:xfrm>
        <a:prstGeom prst="round2DiagRect">
          <a:avLst/>
        </a:prstGeom>
        <a:gradFill flip="none" rotWithShape="1">
          <a:gsLst>
            <a:gs pos="0">
              <a:schemeClr val="accent1">
                <a:lumMod val="5000"/>
                <a:lumOff val="95000"/>
              </a:schemeClr>
            </a:gs>
            <a:gs pos="65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rPr>
            <a:t>Average Weekly Cases</a:t>
          </a:r>
          <a:endParaRPr lang="en-US" sz="20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endParaRPr>
        </a:p>
        <a:p>
          <a:pPr algn="ctr"/>
          <a:fld id="{5F0BE8FD-3DB5-4755-915E-D95DA6FF65F1}"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11.91603053</a:t>
          </a:fld>
          <a:endParaRPr lang="en-US" sz="40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5</xdr:col>
      <xdr:colOff>660400</xdr:colOff>
      <xdr:row>6</xdr:row>
      <xdr:rowOff>184150</xdr:rowOff>
    </xdr:from>
    <xdr:to>
      <xdr:col>8</xdr:col>
      <xdr:colOff>542950</xdr:colOff>
      <xdr:row>13</xdr:row>
      <xdr:rowOff>148750</xdr:rowOff>
    </xdr:to>
    <xdr:sp macro="" textlink="Dashboard!D6">
      <xdr:nvSpPr>
        <xdr:cNvPr id="11" name="Rectangle: Diagonal Corners Rounded 10">
          <a:extLst>
            <a:ext uri="{FF2B5EF4-FFF2-40B4-BE49-F238E27FC236}">
              <a16:creationId xmlns:a16="http://schemas.microsoft.com/office/drawing/2014/main" id="{12F8FFEC-170B-4272-B82A-C93561858CA2}"/>
            </a:ext>
          </a:extLst>
        </xdr:cNvPr>
        <xdr:cNvSpPr/>
      </xdr:nvSpPr>
      <xdr:spPr>
        <a:xfrm>
          <a:off x="5137150" y="1511300"/>
          <a:ext cx="2340000" cy="1260000"/>
        </a:xfrm>
        <a:prstGeom prst="round2DiagRect">
          <a:avLst/>
        </a:prstGeom>
        <a:gradFill flip="none" rotWithShape="1">
          <a:gsLst>
            <a:gs pos="0">
              <a:schemeClr val="accent1">
                <a:lumMod val="5000"/>
                <a:lumOff val="95000"/>
              </a:schemeClr>
            </a:gs>
            <a:gs pos="52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i="0" u="none" strike="noStrike">
              <a:solidFill>
                <a:schemeClr val="tx1">
                  <a:lumMod val="65000"/>
                  <a:lumOff val="35000"/>
                </a:schemeClr>
              </a:solidFill>
              <a:effectLst/>
              <a:latin typeface="Segoe UI" panose="020B0502040204020203" pitchFamily="34" charset="0"/>
              <a:ea typeface="+mn-ea"/>
              <a:cs typeface="Segoe UI" panose="020B0502040204020203" pitchFamily="34" charset="0"/>
            </a:rPr>
            <a:t>% of Total Cases</a:t>
          </a:r>
          <a:r>
            <a:rPr lang="en-US" sz="1600">
              <a:solidFill>
                <a:schemeClr val="tx1">
                  <a:lumMod val="65000"/>
                  <a:lumOff val="35000"/>
                </a:schemeClr>
              </a:solidFill>
              <a:latin typeface="Segoe UI" panose="020B0502040204020203" pitchFamily="34" charset="0"/>
              <a:cs typeface="Segoe UI" panose="020B0502040204020203" pitchFamily="34" charset="0"/>
            </a:rPr>
            <a:t> </a:t>
          </a:r>
          <a:fld id="{0385B75E-AF06-4A05-835E-3142A6C07B56}" type="TxLink">
            <a:rPr lang="en-US" sz="2000" b="1" i="0" u="none" strike="noStrike">
              <a:solidFill>
                <a:schemeClr val="tx1">
                  <a:lumMod val="65000"/>
                  <a:lumOff val="35000"/>
                </a:schemeClr>
              </a:solidFill>
              <a:latin typeface="Segoe UI" panose="020B0502040204020203" pitchFamily="34" charset="0"/>
              <a:ea typeface="Calibri"/>
              <a:cs typeface="Segoe UI" panose="020B0502040204020203" pitchFamily="34" charset="0"/>
            </a:rPr>
            <a:pPr algn="ctr"/>
            <a:t>12.62%</a:t>
          </a:fld>
          <a:endParaRPr lang="en-US" sz="16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0</xdr:col>
      <xdr:colOff>190500</xdr:colOff>
      <xdr:row>16</xdr:row>
      <xdr:rowOff>9525</xdr:rowOff>
    </xdr:from>
    <xdr:to>
      <xdr:col>6</xdr:col>
      <xdr:colOff>914400</xdr:colOff>
      <xdr:row>30</xdr:row>
      <xdr:rowOff>174625</xdr:rowOff>
    </xdr:to>
    <xdr:graphicFrame macro="">
      <xdr:nvGraphicFramePr>
        <xdr:cNvPr id="3" name="Chart 10">
          <a:extLst>
            <a:ext uri="{FF2B5EF4-FFF2-40B4-BE49-F238E27FC236}">
              <a16:creationId xmlns:a16="http://schemas.microsoft.com/office/drawing/2014/main" id="{1AA1FC83-0554-437C-8FBA-B871759C6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101600</xdr:colOff>
      <xdr:row>16</xdr:row>
      <xdr:rowOff>95250</xdr:rowOff>
    </xdr:from>
    <xdr:to>
      <xdr:col>10</xdr:col>
      <xdr:colOff>368300</xdr:colOff>
      <xdr:row>27</xdr:row>
      <xdr:rowOff>177800</xdr:rowOff>
    </xdr:to>
    <xdr:sp macro="[0]!SaveDashboardAsPDF" textlink="">
      <xdr:nvSpPr>
        <xdr:cNvPr id="5" name="Explosion: 8 Points 4">
          <a:extLst>
            <a:ext uri="{FF2B5EF4-FFF2-40B4-BE49-F238E27FC236}">
              <a16:creationId xmlns:a16="http://schemas.microsoft.com/office/drawing/2014/main" id="{A80D57CB-B8C0-4571-A45B-9E7417C635B0}"/>
            </a:ext>
          </a:extLst>
        </xdr:cNvPr>
        <xdr:cNvSpPr/>
      </xdr:nvSpPr>
      <xdr:spPr>
        <a:xfrm>
          <a:off x="6426200" y="3282950"/>
          <a:ext cx="2095500" cy="2108200"/>
        </a:xfrm>
        <a:prstGeom prst="irregularSeal1">
          <a:avLst/>
        </a:prstGeom>
        <a:gradFill>
          <a:gsLst>
            <a:gs pos="0">
              <a:srgbClr val="CCCCFF"/>
            </a:gs>
            <a:gs pos="90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t>Save as PDF</a:t>
          </a:r>
          <a:b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br>
          <a:r>
            <a:rPr lang="en-US" sz="1400" b="1" i="0">
              <a:solidFill>
                <a:schemeClr val="tx1">
                  <a:lumMod val="65000"/>
                  <a:lumOff val="35000"/>
                </a:schemeClr>
              </a:solidFill>
              <a:effectLst>
                <a:outerShdw blurRad="50800" dist="38100" dir="2700000" algn="tl" rotWithShape="0">
                  <a:srgbClr val="000000">
                    <a:alpha val="40000"/>
                  </a:srgbClr>
                </a:outerShdw>
              </a:effectLst>
              <a:latin typeface="+mn-lt"/>
              <a:ea typeface="+mn-ea"/>
              <a:cs typeface="+mn-cs"/>
            </a:rPr>
            <a:t>Button</a:t>
          </a:r>
          <a:endParaRPr lang="en-US" sz="1400" b="1" i="0">
            <a:solidFill>
              <a:schemeClr val="tx1">
                <a:lumMod val="65000"/>
                <a:lumOff val="35000"/>
              </a:schemeClr>
            </a:solidFill>
            <a:effectLst/>
          </a:endParaRPr>
        </a:p>
        <a:p>
          <a:pPr algn="l"/>
          <a:endParaRPr lang="en-US" sz="1100"/>
        </a:p>
      </xdr:txBody>
    </xdr:sp>
    <xdr:clientData/>
  </xdr:twoCellAnchor>
  <xdr:twoCellAnchor>
    <xdr:from>
      <xdr:col>6</xdr:col>
      <xdr:colOff>260350</xdr:colOff>
      <xdr:row>32</xdr:row>
      <xdr:rowOff>38101</xdr:rowOff>
    </xdr:from>
    <xdr:to>
      <xdr:col>7</xdr:col>
      <xdr:colOff>577850</xdr:colOff>
      <xdr:row>35</xdr:row>
      <xdr:rowOff>19051</xdr:rowOff>
    </xdr:to>
    <xdr:sp macro="" textlink="">
      <xdr:nvSpPr>
        <xdr:cNvPr id="6" name="Arrow: Curved Up 5">
          <a:extLst>
            <a:ext uri="{FF2B5EF4-FFF2-40B4-BE49-F238E27FC236}">
              <a16:creationId xmlns:a16="http://schemas.microsoft.com/office/drawing/2014/main" id="{68854975-3852-4AE5-8D55-5EAE42E7D565}"/>
            </a:ext>
          </a:extLst>
        </xdr:cNvPr>
        <xdr:cNvSpPr/>
      </xdr:nvSpPr>
      <xdr:spPr>
        <a:xfrm rot="20999834">
          <a:off x="5435600" y="6172201"/>
          <a:ext cx="1466850" cy="533400"/>
        </a:xfrm>
        <a:prstGeom prst="curvedUpArrow">
          <a:avLst/>
        </a:prstGeom>
        <a:solidFill>
          <a:schemeClr val="accent2"/>
        </a:soli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597800923" createdVersion="7" refreshedVersion="7" minRefreshableVersion="3" recordCount="1036" xr:uid="{F2BA5F7D-DDAB-43B3-A724-09F6433A5889}">
  <cacheSource type="worksheet">
    <worksheetSource ref="A1:J1037" sheet="Data"/>
  </cacheSource>
  <cacheFields count="10">
    <cacheField name="Week" numFmtId="0">
      <sharedItems containsSemiMixedTypes="0" containsString="0" containsNumber="1" containsInteger="1" minValue="1" maxValue="49"/>
    </cacheField>
    <cacheField name="Month" numFmtId="0">
      <sharedItems count="8">
        <s v="Jan2025"/>
        <s v="Feb2025"/>
        <s v="Apr2025"/>
        <s v="May2025"/>
        <s v="Jun2025"/>
        <s v="Jul2025"/>
        <s v="Nov2025"/>
        <s v="Dec2025"/>
      </sharedItems>
    </cacheField>
    <cacheField name="Day" numFmtId="0">
      <sharedItems/>
    </cacheField>
    <cacheField name="Date" numFmtId="14">
      <sharedItems containsSemiMixedTypes="0" containsNonDate="0" containsDate="1" containsString="0" minDate="2025-01-02T00:00:00" maxDate="2025-12-03T00:00:00"/>
    </cacheField>
    <cacheField name="Count" numFmtId="0">
      <sharedItems containsSemiMixedTypes="0" containsString="0" containsNumber="1" containsInteger="1" minValue="1" maxValue="31"/>
    </cacheField>
    <cacheField name="Case ID" numFmtId="0">
      <sharedItems containsSemiMixedTypes="0" containsString="0" containsNumber="1" containsInteger="1" minValue="9190671622" maxValue="11249570522" count="961">
        <n v="10691104772"/>
        <n v="10680123972"/>
        <n v="10683507902"/>
        <n v="10682325712"/>
        <n v="10472816962"/>
        <n v="10687631122"/>
        <n v="10691745962"/>
        <n v="10688127342"/>
        <n v="10673689682"/>
        <n v="10691510562"/>
        <n v="10691612622"/>
        <n v="10687226472"/>
        <n v="10691456342"/>
        <n v="10692697022"/>
        <n v="10692914732"/>
        <n v="10676184092"/>
        <n v="10694527502"/>
        <n v="10693780822"/>
        <n v="10694789962"/>
        <n v="10686001022"/>
        <n v="10694220542"/>
        <n v="10692666722"/>
        <n v="10694573542"/>
        <n v="10694729622"/>
        <n v="10657751562"/>
        <n v="10694396672"/>
        <n v="10672807182"/>
        <n v="10691026862"/>
        <n v="10680037052"/>
        <n v="10695267352"/>
        <n v="10695298132"/>
        <n v="10695786382"/>
        <n v="10695073522"/>
        <n v="10695859252"/>
        <n v="10679782222"/>
        <n v="10695986372"/>
        <n v="10690833742"/>
        <n v="10697433712"/>
        <n v="10690819112"/>
        <n v="10689565572"/>
        <n v="10697619642"/>
        <n v="10689214202"/>
        <n v="10684847642"/>
        <n v="10665548452"/>
        <n v="10697992412"/>
        <n v="10681415982"/>
        <n v="10697903192"/>
        <n v="10697983582"/>
        <n v="10698554102"/>
        <n v="10681553422"/>
        <n v="10698558912"/>
        <n v="10698198092"/>
        <n v="10684829752"/>
        <n v="10698869712"/>
        <n v="10632720982"/>
        <n v="10692355072"/>
        <n v="10692634822"/>
        <n v="10693255412"/>
        <n v="10694732472"/>
        <n v="10690631522"/>
        <n v="10683478002"/>
        <n v="10693130582"/>
        <n v="10693890132"/>
        <n v="10699065612"/>
        <n v="10682112762"/>
        <n v="10699946072"/>
        <n v="10699979222"/>
        <n v="10700029662"/>
        <n v="10700450482"/>
        <n v="10694523652"/>
        <n v="10694452952"/>
        <n v="10700939212"/>
        <n v="10700957592"/>
        <n v="10697117212"/>
        <n v="10697582732"/>
        <n v="10701209692"/>
        <n v="10543349372"/>
        <n v="10700706702"/>
        <n v="10701161422"/>
        <n v="10700807812"/>
        <n v="10688552812"/>
        <n v="10696218362"/>
        <n v="10701569842"/>
        <n v="10702251802"/>
        <n v="10701776952"/>
        <n v="10702445852"/>
        <n v="10701054712"/>
        <n v="10702784802"/>
        <n v="10706808982"/>
        <n v="10702729792"/>
        <n v="10697931522"/>
        <n v="10697967422"/>
        <n v="10701754652"/>
        <n v="10702604652"/>
        <n v="10703536132"/>
        <n v="10703569612"/>
        <n v="10622949542"/>
        <n v="10699589782"/>
        <n v="10707641862"/>
        <n v="10711680612"/>
        <n v="10686212972"/>
        <n v="10710779662"/>
        <n v="10710671102"/>
        <n v="10709276782"/>
        <n v="10712344502"/>
        <n v="10704677712"/>
        <n v="10705335932"/>
        <n v="10712012692"/>
        <n v="10712002452"/>
        <n v="10712627252"/>
        <n v="10709440662"/>
        <n v="10694249592"/>
        <n v="10712420802"/>
        <n v="10705563662"/>
        <n v="10668563822"/>
        <n v="10713740692"/>
        <n v="10703797122"/>
        <n v="10712673612"/>
        <n v="10714374742"/>
        <n v="10713053352"/>
        <n v="10708223362"/>
        <n v="10714927132"/>
        <n v="10713852862"/>
        <n v="10638550132"/>
        <n v="10707170392"/>
        <n v="10714746962"/>
        <n v="10714824872"/>
        <n v="10714936802"/>
        <n v="10706061282"/>
        <n v="10709176092"/>
        <n v="10715578772"/>
        <n v="10714665402"/>
        <n v="10715437322"/>
        <n v="10674376312"/>
        <n v="10590311422"/>
        <n v="10715495522"/>
        <n v="10705681592"/>
        <n v="10711298442"/>
        <n v="10706987982"/>
        <n v="10706527692"/>
        <n v="10707416862"/>
        <n v="10717979842"/>
        <n v="10712723252"/>
        <n v="10718038222"/>
        <n v="10676644972"/>
        <n v="10717227622"/>
        <n v="10481645332"/>
        <n v="10717774582"/>
        <n v="10712690702"/>
        <n v="10717391652"/>
        <n v="10717774022"/>
        <n v="10711842112"/>
        <n v="10717766872"/>
        <n v="10717142642"/>
        <n v="10717940732"/>
        <n v="10716400052"/>
        <n v="10717801982"/>
        <n v="10716916222"/>
        <n v="10718148432"/>
        <n v="10718177212"/>
        <n v="10713992762"/>
        <n v="10715197812"/>
        <n v="10723808572"/>
        <n v="10705379012"/>
        <n v="10724456112"/>
        <n v="10725080472"/>
        <n v="10723443142"/>
        <n v="10724356382"/>
        <n v="10723506932"/>
        <n v="10719520122"/>
        <n v="10724391312"/>
        <n v="10724600742"/>
        <n v="10724994882"/>
        <n v="10701760422"/>
        <n v="10725111962"/>
        <n v="10725285902"/>
        <n v="10725770152"/>
        <n v="10724820752"/>
        <n v="10653941782"/>
        <n v="10725433962"/>
        <n v="10724909772"/>
        <n v="10725449312"/>
        <n v="10725662052"/>
        <n v="10718384482"/>
        <n v="10651963862"/>
        <n v="10726511022"/>
        <n v="10717059482"/>
        <n v="10719312792"/>
        <n v="10696778472"/>
        <n v="10727690812"/>
        <n v="10728454202"/>
        <n v="10723289972"/>
        <n v="10727823402"/>
        <n v="10728033162"/>
        <n v="10723298192"/>
        <n v="10726910072"/>
        <n v="10726816752"/>
        <n v="10728458282"/>
        <n v="10657355442"/>
        <n v="10725399422"/>
        <n v="10655906282"/>
        <n v="10728914002"/>
        <n v="9862668932"/>
        <n v="10729011202"/>
        <n v="10725253562"/>
        <n v="10729226102"/>
        <n v="10728777802"/>
        <n v="10729497732"/>
        <n v="10726928902"/>
        <n v="10730050322"/>
        <n v="10692904272"/>
        <n v="10723574462"/>
        <n v="10728941532"/>
        <n v="10724533972"/>
        <n v="10707816552"/>
        <n v="10731420412"/>
        <n v="10731990572"/>
        <n v="10731105212"/>
        <n v="10730890592"/>
        <n v="10731572392"/>
        <n v="10731616202"/>
        <n v="10721152382"/>
        <n v="10731618572"/>
        <n v="10710385462"/>
        <n v="10732706252"/>
        <n v="10732441312"/>
        <n v="10730105232"/>
        <n v="10732715242"/>
        <n v="10732921942"/>
        <n v="10733025542"/>
        <n v="10724800722"/>
        <n v="10725698152"/>
        <n v="10734767862"/>
        <n v="10724221972"/>
        <n v="10734354762"/>
        <n v="10734509412"/>
        <n v="10727444522"/>
        <n v="10735347652"/>
        <n v="10656405392"/>
        <n v="10734149542"/>
        <n v="10735461232"/>
        <n v="10735215202"/>
        <n v="10712023852"/>
        <n v="10735110602"/>
        <n v="10735202482"/>
        <n v="10728486162"/>
        <n v="10720763802"/>
        <n v="10735416072"/>
        <n v="10735364342"/>
        <n v="10735947312"/>
        <n v="10729742812"/>
        <n v="10736585722"/>
        <n v="10131856552"/>
        <n v="10737613462"/>
        <n v="10706743272"/>
        <n v="10737690732"/>
        <n v="10731439992"/>
        <n v="10529503402"/>
        <n v="10737841822"/>
        <n v="10737890512"/>
        <n v="10737638822"/>
        <n v="10726363072"/>
        <n v="10737529992"/>
        <n v="10738130702"/>
        <n v="10730214682"/>
        <n v="10737551312"/>
        <n v="10737540042"/>
        <n v="10738265022"/>
        <n v="10737723632"/>
        <n v="10735706092"/>
        <n v="10736474862"/>
        <n v="10738406072"/>
        <n v="10736146252"/>
        <n v="10728563392"/>
        <n v="10726654172"/>
        <n v="10745970082"/>
        <n v="10736115522"/>
        <n v="10622355602"/>
        <n v="10734037002"/>
        <n v="10747377162"/>
        <n v="10746902852"/>
        <n v="10747611872"/>
        <n v="10748011282"/>
        <n v="10712109642"/>
        <n v="10747745402"/>
        <n v="10748453212"/>
        <n v="10748157562"/>
        <n v="10747694552"/>
        <n v="10746961512"/>
        <n v="10748111432"/>
        <n v="10737228302"/>
        <n v="10752812142"/>
        <n v="10747753622"/>
        <n v="10711539092"/>
        <n v="10741952512"/>
        <n v="10752640352"/>
        <n v="10729892742"/>
        <n v="10732616332"/>
        <n v="10752783872"/>
        <n v="10746740932"/>
        <n v="10753718652"/>
        <n v="10748756362"/>
        <n v="10745284682"/>
        <n v="10753908802"/>
        <n v="10738208482"/>
        <n v="10454480612"/>
        <n v="10754449692"/>
        <n v="10754931882"/>
        <n v="10755408302"/>
        <n v="10755078142"/>
        <n v="10755642762"/>
        <n v="10753725242"/>
        <n v="10735058492"/>
        <n v="10755725332"/>
        <n v="10755568982"/>
        <n v="10755855382"/>
        <n v="10757697242"/>
        <n v="10753644942"/>
        <n v="10705768972"/>
        <n v="10757452512"/>
        <n v="10749486222"/>
        <n v="10758059972"/>
        <n v="10756176632"/>
        <n v="10754697852"/>
        <n v="10664810712"/>
        <n v="10758813672"/>
        <n v="10746390212"/>
        <n v="10631546752"/>
        <n v="10758102442"/>
        <n v="10758960772"/>
        <n v="10758171672"/>
        <n v="10758732312"/>
        <n v="10757814132"/>
        <n v="10758944782"/>
        <n v="10753183902"/>
        <n v="10757309982"/>
        <n v="10738909832"/>
        <n v="10758087052"/>
        <n v="10759122452"/>
        <n v="10758905732"/>
        <n v="10721977672"/>
        <n v="10754749362"/>
        <n v="10753352202"/>
        <n v="10762989732"/>
        <n v="10762436052"/>
        <n v="10752510272"/>
        <n v="10753924842"/>
        <n v="10762986942"/>
        <n v="10762895952"/>
        <n v="10762897482"/>
        <n v="10763955682"/>
        <n v="10763294912"/>
        <n v="10763055022"/>
        <n v="10762951192"/>
        <n v="10753186312"/>
        <n v="10753687672"/>
        <n v="10762546732"/>
        <n v="10762448512"/>
        <n v="10655135682"/>
        <n v="10762904082"/>
        <n v="10763961102"/>
        <n v="10763221282"/>
        <n v="10752952612"/>
        <n v="10764054762"/>
        <n v="10769593002"/>
        <n v="10770686272"/>
        <n v="10769491162"/>
        <n v="10732804732"/>
        <n v="10736897972"/>
        <n v="10770766752"/>
        <n v="10770219172"/>
        <n v="10770824282"/>
        <n v="10770533052"/>
        <n v="10770475092"/>
        <n v="10770630582"/>
        <n v="10770991732"/>
        <n v="10771056142"/>
        <n v="10770823102"/>
        <n v="10755686462"/>
        <n v="10733659912"/>
        <n v="10770840192"/>
        <n v="10773544392"/>
        <n v="10769720932"/>
        <n v="10774238352"/>
        <n v="10747699962"/>
        <n v="10774469552"/>
        <n v="10774397982"/>
        <n v="10755453082"/>
        <n v="10775141852"/>
        <n v="10769597612"/>
        <n v="10745415712"/>
        <n v="10753084042"/>
        <n v="10774376872"/>
        <n v="10775169282"/>
        <n v="10768997322"/>
        <n v="10775534732"/>
        <n v="10775937862"/>
        <n v="10755026072"/>
        <n v="10775707872"/>
        <n v="10775073292"/>
        <n v="10781340872"/>
        <n v="10775608952"/>
        <n v="10744302952"/>
        <n v="10781640462"/>
        <n v="10747143202"/>
        <n v="10781260592"/>
        <n v="10782295412"/>
        <n v="10585817742"/>
        <n v="10748023802"/>
        <n v="10782308022"/>
        <n v="10779804042"/>
        <n v="10781085532"/>
        <n v="10735682882"/>
        <n v="10781660392"/>
        <n v="10781839152"/>
        <n v="10774806572"/>
        <n v="10783006042"/>
        <n v="10783035352"/>
        <n v="10782770962"/>
        <n v="10752322532"/>
        <n v="10782881592"/>
        <n v="10620230772"/>
        <n v="10759247232"/>
        <n v="10783623622"/>
        <n v="10784364072"/>
        <n v="10778450022"/>
        <n v="10784370772"/>
        <n v="10784461302"/>
        <n v="10783164162"/>
        <n v="10784716212"/>
        <n v="10772617392"/>
        <n v="10784950812"/>
        <n v="10771141482"/>
        <n v="10785804742"/>
        <n v="10668516602"/>
        <n v="10785407152"/>
        <n v="10771437132"/>
        <n v="10781640262"/>
        <n v="10784631642"/>
        <n v="10783968342"/>
        <n v="10786227562"/>
        <n v="10749459252"/>
        <n v="10784692382"/>
        <n v="10785821512"/>
        <n v="10780491092"/>
        <n v="10785178972"/>
        <n v="10796660672"/>
        <n v="10796456102"/>
        <n v="10781275412"/>
        <n v="10773057202"/>
        <n v="10754723282"/>
        <n v="10796644252"/>
        <n v="10763696162"/>
        <n v="10796209502"/>
        <n v="10797003892"/>
        <n v="10790077232"/>
        <n v="10796910922"/>
        <n v="10774667802"/>
        <n v="10797099212"/>
        <n v="10797092322"/>
        <n v="10797117032"/>
        <n v="10797206072"/>
        <n v="10795972952"/>
        <n v="10797402932"/>
        <n v="10797925432"/>
        <n v="10796997682"/>
        <n v="10782765832"/>
        <n v="10752315112"/>
        <n v="10797947812"/>
        <n v="10795214802"/>
        <n v="10784589902"/>
        <n v="10798034142"/>
        <n v="10798469832"/>
        <n v="10800536652"/>
        <n v="10800629392"/>
        <n v="10764092182"/>
        <n v="10800731252"/>
        <n v="10800054962"/>
        <n v="10801530372"/>
        <n v="10790789882"/>
        <n v="10798864032"/>
        <n v="10800502722"/>
        <n v="10795717062"/>
        <n v="10781026822"/>
        <n v="10769457462"/>
        <n v="10776096842"/>
        <n v="10802720312"/>
        <n v="10785966102"/>
        <n v="10801021632"/>
        <n v="10672229412"/>
        <n v="10802460102"/>
        <n v="10803061852"/>
        <n v="10794315882"/>
        <n v="10799992382"/>
        <n v="10785460532"/>
        <n v="10785954752"/>
        <n v="10774824422"/>
        <n v="10803485592"/>
        <n v="10803625112"/>
        <n v="10799792022"/>
        <n v="10802800832"/>
        <n v="10804857552"/>
        <n v="10805034052"/>
        <n v="10804876272"/>
        <n v="10805118382"/>
        <n v="10801258882"/>
        <n v="10798584702"/>
        <n v="10805851632"/>
        <n v="10806204212"/>
        <n v="10799510802"/>
        <n v="10785653572"/>
        <n v="10805759312"/>
        <n v="10805807062"/>
        <n v="10807992072"/>
        <n v="10791217822"/>
        <n v="10735131122"/>
        <n v="10773388592"/>
        <n v="10813056002"/>
        <n v="10811498492"/>
        <n v="10811993642"/>
        <n v="10812387922"/>
        <n v="10811909562"/>
        <n v="10811233432"/>
        <n v="10811341682"/>
        <n v="10812777722"/>
        <n v="10810528972"/>
        <n v="10798544612"/>
        <n v="10792316432"/>
        <n v="10811234382"/>
        <n v="10812911452"/>
        <n v="10813365652"/>
        <n v="10812317382"/>
        <n v="10800343952"/>
        <n v="10792201102"/>
        <n v="10813079902"/>
        <n v="10794946202"/>
        <n v="10813775672"/>
        <n v="10824986192"/>
        <n v="10824712522"/>
        <n v="10825200372"/>
        <n v="10808092422"/>
        <n v="10825019502"/>
        <n v="10825367022"/>
        <n v="10825600832"/>
        <n v="10791558752"/>
        <n v="10825777092"/>
        <n v="10825706522"/>
        <n v="10825737412"/>
        <n v="10826252872"/>
        <n v="10758950502"/>
        <n v="10825852902"/>
        <n v="10825838022"/>
        <n v="10825257962"/>
        <n v="10826095512"/>
        <n v="10756635812"/>
        <n v="10811607022"/>
        <n v="10823682182"/>
        <n v="10826548892"/>
        <n v="10826263492"/>
        <n v="10823941962"/>
        <n v="10820903392"/>
        <n v="10822775072"/>
        <n v="10826524042"/>
        <n v="10653525222"/>
        <n v="10826447382"/>
        <n v="10783394872"/>
        <n v="10824402642"/>
        <n v="10811739142"/>
        <n v="10755926792"/>
        <n v="10828204022"/>
        <n v="10828416972"/>
        <n v="10827954992"/>
        <n v="10805382512"/>
        <n v="10595796002"/>
        <n v="10828822282"/>
        <n v="10826325622"/>
        <n v="10828847732"/>
        <n v="10641519692"/>
        <n v="10805909612"/>
        <n v="10829706552"/>
        <n v="10807385042"/>
        <n v="10829789982"/>
        <n v="10829280522"/>
        <n v="10808316462"/>
        <n v="10829704662"/>
        <n v="10829511722"/>
        <n v="10829161932"/>
        <n v="10828784272"/>
        <n v="10818471022"/>
        <n v="10808803612"/>
        <n v="10817018842"/>
        <n v="10826462102"/>
        <n v="10799393562"/>
        <n v="10827683482"/>
        <n v="10816673532"/>
        <n v="10835632042"/>
        <n v="10816338442"/>
        <n v="10821589502"/>
        <n v="10827232902"/>
        <n v="10834239842"/>
        <n v="10836181502"/>
        <n v="10836219572"/>
        <n v="10835474562"/>
        <n v="10836443212"/>
        <n v="10830051672"/>
        <n v="10836025212"/>
        <n v="10802784902"/>
        <n v="10835240982"/>
        <n v="10834255832"/>
        <n v="10836580162"/>
        <n v="10828506902"/>
        <n v="10839033932"/>
        <n v="10840468132"/>
        <n v="10839900992"/>
        <n v="10839785822"/>
        <n v="10803084372"/>
        <n v="10840316692"/>
        <n v="10807121222"/>
        <n v="10839677572"/>
        <n v="10838649382"/>
        <n v="10839766952"/>
        <n v="10817109342"/>
        <n v="10730143422"/>
        <n v="10768342522"/>
        <n v="10829030402"/>
        <n v="10789696872"/>
        <n v="10811627712"/>
        <n v="10840366612"/>
        <n v="10493211082"/>
        <n v="10840865382"/>
        <n v="10834600722"/>
        <n v="10841420622"/>
        <n v="10826951382"/>
        <n v="10826519832"/>
        <n v="10841596382"/>
        <n v="10841751802"/>
        <n v="10830863582"/>
        <n v="9190671622"/>
        <n v="10631416632"/>
        <n v="10240693892"/>
        <n v="10799670002"/>
        <n v="10802890992"/>
        <n v="10813406102"/>
        <n v="10843965022"/>
        <n v="10844399842"/>
        <n v="10844535862"/>
        <n v="10830780082"/>
        <n v="10845772412"/>
        <n v="10821334992"/>
        <n v="10828517092"/>
        <n v="10844542642"/>
        <n v="10830903792"/>
        <n v="10830249102"/>
        <n v="10845554982"/>
        <n v="10816020692"/>
        <n v="10845830652"/>
        <n v="10845876102"/>
        <n v="10845291312"/>
        <n v="10844210852"/>
        <n v="10844582502"/>
        <n v="10845398992"/>
        <n v="10817749872"/>
        <n v="10850501762"/>
        <n v="10850270592"/>
        <n v="10830351932"/>
        <n v="10850895572"/>
        <n v="10811672872"/>
        <n v="10851150342"/>
        <n v="10851278762"/>
        <n v="10851211502"/>
        <n v="10084746772"/>
        <n v="10851792142"/>
        <n v="10850406192"/>
        <n v="10852397942"/>
        <n v="10852150242"/>
        <n v="10847941362"/>
        <n v="10821818742"/>
        <n v="10851654222"/>
        <n v="10828977422"/>
        <n v="10836760362"/>
        <n v="10826343652"/>
        <n v="10850275652"/>
        <n v="10839101272"/>
        <n v="10852465162"/>
        <n v="10852978582"/>
        <n v="10846492982"/>
        <n v="10853088512"/>
        <n v="10689614462"/>
        <n v="10852515482"/>
        <n v="10852486332"/>
        <n v="10790297742"/>
        <n v="10853659492"/>
        <n v="10839296552"/>
        <n v="10857904742"/>
        <n v="10858270772"/>
        <n v="10859095242"/>
        <n v="10857549012"/>
        <n v="10570036152"/>
        <n v="10757948342"/>
        <n v="10858821752"/>
        <n v="10859067882"/>
        <n v="10856929572"/>
        <n v="10551683852"/>
        <n v="10852216722"/>
        <n v="10856802262"/>
        <n v="10852936422"/>
        <n v="10857575152"/>
        <n v="10858342592"/>
        <n v="10821456262"/>
        <n v="10454337522"/>
        <n v="10846593522"/>
        <n v="10858766092"/>
        <n v="10849461332"/>
        <n v="10767768372"/>
        <n v="10859700132"/>
        <n v="10858599122"/>
        <n v="10827518102"/>
        <n v="10861178122"/>
        <n v="10861173502"/>
        <n v="10825506002"/>
        <n v="10804973762"/>
        <n v="10857123742"/>
        <n v="10825931592"/>
        <n v="10790791742"/>
        <n v="10861215552"/>
        <n v="10103993222"/>
        <n v="10861596382"/>
        <n v="10859352772"/>
        <n v="10862886852"/>
        <n v="10827620252"/>
        <n v="10863015742"/>
        <n v="10766788132"/>
        <n v="10862544322"/>
        <n v="10847353372"/>
        <n v="10861663602"/>
        <n v="10863401852"/>
        <n v="10861360112"/>
        <n v="10862855252"/>
        <n v="10863013962"/>
        <n v="10863175752"/>
        <n v="10846126622"/>
        <n v="10849063542"/>
        <n v="10824428332"/>
        <n v="10867980372"/>
        <n v="10847011312"/>
        <n v="10867568422"/>
        <n v="10868333252"/>
        <n v="10867707642"/>
        <n v="10846394032"/>
        <n v="10862526522"/>
        <n v="10866912262"/>
        <n v="10868098642"/>
        <n v="10867567762"/>
        <n v="10858881792"/>
        <n v="10869004272"/>
        <n v="10840165842"/>
        <n v="10869167462"/>
        <n v="10866680732"/>
        <n v="10868946882"/>
        <n v="10869382972"/>
        <n v="10829010452"/>
        <n v="10827497172"/>
        <n v="10841357082"/>
        <n v="9998565992"/>
        <n v="10870104452"/>
        <n v="10783345302"/>
        <n v="10870008432"/>
        <n v="10870158762"/>
        <n v="10835354752"/>
        <n v="10870232612"/>
        <n v="10858233172"/>
        <n v="11210060192"/>
        <n v="11198326272"/>
        <n v="11024469932"/>
        <n v="11210285032"/>
        <n v="11209876402"/>
        <n v="11210481012"/>
        <n v="11106228762"/>
        <n v="11210961972"/>
        <n v="11195195272"/>
        <n v="11211014002"/>
        <n v="11210532542"/>
        <n v="11211135702"/>
        <n v="11212370692"/>
        <n v="11195910312"/>
        <n v="11212047982"/>
        <n v="11212066562"/>
        <n v="11212454362"/>
        <n v="11212315052"/>
        <n v="11212430372"/>
        <n v="11212870552"/>
        <n v="11203213612"/>
        <n v="11212988152"/>
        <n v="10841721542"/>
        <n v="11212502302"/>
        <n v="11213376542"/>
        <n v="11145299512"/>
        <n v="11213557752"/>
        <n v="11213378392"/>
        <n v="11213673182"/>
        <n v="11214120592"/>
        <n v="11213253512"/>
        <n v="11213909012"/>
        <n v="11213362332"/>
        <n v="11214015222"/>
        <n v="11214606062"/>
        <n v="11170517432"/>
        <n v="11186300642"/>
        <n v="11207192562"/>
        <n v="11205760922"/>
        <n v="11210521822"/>
        <n v="11213542152"/>
        <n v="11216082762"/>
        <n v="11213624782"/>
        <n v="11216802052"/>
        <n v="11174442202"/>
        <n v="11213588342"/>
        <n v="11217189732"/>
        <n v="11209711302"/>
        <n v="11175133002"/>
        <n v="11217042902"/>
        <n v="11204050072"/>
        <n v="11209891702"/>
        <n v="11217320152"/>
        <n v="11217591002"/>
        <n v="11218004422"/>
        <n v="11215794762"/>
        <n v="11218117772"/>
        <n v="11216771972"/>
        <n v="11217873912"/>
        <n v="11219275182"/>
        <n v="11218599172"/>
        <n v="11211434672"/>
        <n v="11219508512"/>
        <n v="11218839322"/>
        <n v="11219607272"/>
        <n v="11219999902"/>
        <n v="11219866002"/>
        <n v="11220349202"/>
        <n v="11221212512"/>
        <n v="11219630222"/>
        <n v="11221800522"/>
        <n v="11221943392"/>
        <n v="11201236612"/>
        <n v="11214220532"/>
        <n v="11221874052"/>
        <n v="11221732122"/>
        <n v="11222354172"/>
        <n v="11218750942"/>
        <n v="11222596512"/>
        <n v="11222112872"/>
        <n v="11222091192"/>
        <n v="11222310232"/>
        <n v="11224177872"/>
        <n v="11223862012"/>
        <n v="11224367422"/>
        <n v="11224469322"/>
        <n v="11137111952"/>
        <n v="11224281512"/>
        <n v="11222080582"/>
        <n v="11224450612"/>
        <n v="11224425242"/>
        <n v="11224985412"/>
        <n v="11172021912"/>
        <n v="11224616622"/>
        <n v="11225197102"/>
        <n v="11224509202"/>
        <n v="11212584072"/>
        <n v="11217683752"/>
        <n v="11219699482"/>
        <n v="11225742312"/>
        <n v="11170810202"/>
        <n v="10720180962"/>
        <n v="11225900172"/>
        <n v="11236322312"/>
        <n v="11236363052"/>
        <n v="11236188402"/>
        <n v="11231450942"/>
        <n v="11235835522"/>
        <n v="11236307892"/>
        <n v="11236520272"/>
        <n v="11239757272"/>
        <n v="11239844472"/>
        <n v="11239705572"/>
        <n v="11239752102"/>
        <n v="11222587392"/>
        <n v="11239772542"/>
        <n v="11240183482"/>
        <n v="11240383412"/>
        <n v="11233541752"/>
        <n v="11238399002"/>
        <n v="11240656532"/>
        <n v="11240699962"/>
        <n v="11240927662"/>
        <n v="11240968452"/>
        <n v="11239298712"/>
        <n v="11241140862"/>
        <n v="11241112522"/>
        <n v="11241278072"/>
        <n v="11241298122"/>
        <n v="11232460712"/>
        <n v="11241347742"/>
        <n v="11241439442"/>
        <n v="11241415032"/>
        <n v="11241604562"/>
        <n v="11241648752"/>
        <n v="11241315432"/>
        <n v="11241788212"/>
        <n v="11203309922"/>
        <n v="11225908262"/>
        <n v="11243275812"/>
        <n v="11243487262"/>
        <n v="11243527462"/>
        <n v="11243645812"/>
        <n v="11243658672"/>
        <n v="11243830482"/>
        <n v="11244006152"/>
        <n v="11243942092"/>
        <n v="11244006082"/>
        <n v="11244151172"/>
        <n v="11235044832"/>
        <n v="11244163232"/>
        <n v="11230643782"/>
        <n v="11244225792"/>
        <n v="11244282932"/>
        <n v="11203387942"/>
        <n v="11244599302"/>
        <n v="11236612262"/>
        <n v="11244437302"/>
        <n v="11244777262"/>
        <n v="11244810752"/>
        <n v="11200052862"/>
        <n v="11244933402"/>
        <n v="11242956662"/>
        <n v="11245030442"/>
        <n v="11245090652"/>
        <n v="11178857832"/>
        <n v="11245254792"/>
        <n v="11240699872"/>
        <n v="11244188292"/>
        <n v="11246605382"/>
        <n v="11246670422"/>
        <n v="11246746422"/>
        <n v="11247008072"/>
        <n v="11240101922"/>
        <n v="11247445232"/>
        <n v="11247380242"/>
        <n v="11247430552"/>
        <n v="11111758012"/>
        <n v="11246775322"/>
        <n v="11247771492"/>
        <n v="11247804612"/>
        <n v="11246321852"/>
        <n v="11248255932"/>
        <n v="11248189442"/>
        <n v="11248857232"/>
        <n v="11147188492"/>
        <n v="11249068432"/>
        <n v="11249570112"/>
        <n v="11249293212"/>
        <n v="11249570522"/>
      </sharedItems>
    </cacheField>
    <cacheField name="Case Disposition" numFmtId="0">
      <sharedItems count="5">
        <s v="Transfer"/>
        <s v="PMA"/>
        <s v="Resolved"/>
        <s v="PAA"/>
        <s v="Unassigned"/>
      </sharedItems>
    </cacheField>
    <cacheField name="Skill" numFmtId="0">
      <sharedItems count="3">
        <s v="ILAC"/>
        <s v="FBA"/>
        <s v="MAT"/>
      </sharedItems>
    </cacheField>
    <cacheField name="Comments" numFmtId="0">
      <sharedItems/>
    </cacheField>
    <cacheField name="Escalation" numFmtId="0">
      <sharedItems count="2">
        <s v="Yes"/>
        <s v="No"/>
      </sharedItems>
    </cacheField>
  </cacheFields>
  <extLst>
    <ext xmlns:x14="http://schemas.microsoft.com/office/spreadsheetml/2009/9/main" uri="{725AE2AE-9491-48be-B2B4-4EB974FC3084}">
      <x14:pivotCacheDefinition pivotCacheId="144379499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599884262" createdVersion="7" refreshedVersion="7" minRefreshableVersion="3" recordCount="1037" xr:uid="{9ED743B5-AA28-42E2-BDFE-9A5CBA0E335E}">
  <cacheSource type="worksheet">
    <worksheetSource name="Table1"/>
  </cacheSource>
  <cacheFields count="10">
    <cacheField name="Week" numFmtId="0">
      <sharedItems containsSemiMixedTypes="0" containsString="0" containsNumber="1" containsInteger="1" minValue="1" maxValue="49"/>
    </cacheField>
    <cacheField name="Month" numFmtId="0">
      <sharedItems/>
    </cacheField>
    <cacheField name="Day" numFmtId="0">
      <sharedItems/>
    </cacheField>
    <cacheField name="Date" numFmtId="14">
      <sharedItems containsSemiMixedTypes="0" containsNonDate="0" containsDate="1" containsString="0" minDate="2025-01-02T00:00:00" maxDate="2025-12-03T00:00:00" count="51">
        <d v="2025-01-09T00:00:00"/>
        <d v="2025-01-10T00:00:00"/>
        <d v="2025-01-11T00:00:00"/>
        <d v="2025-01-12T00:00:00"/>
        <d v="2025-01-13T00:00:00"/>
        <d v="2025-01-16T00:00:00"/>
        <d v="2025-01-17T00:00:00"/>
        <d v="2025-01-18T00:00:00"/>
        <d v="2025-01-21T00:00:00"/>
        <d v="2025-01-22T00:00:00"/>
        <d v="2025-01-23T00:00:00"/>
        <d v="2025-01-24T00:00:00"/>
        <d v="2025-01-25T00:00:00"/>
        <d v="2025-01-28T00:00:00"/>
        <d v="2025-01-29T00:00:00"/>
        <d v="2025-01-30T00:00:00"/>
        <d v="2025-01-31T00:00:00"/>
        <d v="2025-02-01T00:00:00"/>
        <d v="2025-01-02T00:00:00"/>
        <d v="2025-02-04T00:00:00"/>
        <d v="2025-04-02T00:00:00"/>
        <d v="2025-02-05T00:00:00"/>
        <d v="2025-05-02T00:00:00"/>
        <d v="2025-02-06T00:00:00"/>
        <d v="2025-06-02T00:00:00"/>
        <d v="2025-02-07T00:00:00"/>
        <d v="2025-07-02T00:00:00"/>
        <d v="2025-02-11T00:00:00"/>
        <d v="2025-11-02T00:00:00"/>
        <d v="2025-02-12T00:00:00"/>
        <d v="2025-12-02T00:00:00"/>
        <d v="2025-02-13T00:00:00"/>
        <d v="2025-02-14T00:00:00"/>
        <d v="2025-02-18T00:00:00"/>
        <d v="2025-02-19T00:00:00"/>
        <d v="2025-02-20T00:00:00"/>
        <d v="2025-02-21T00:00:00"/>
        <d v="2025-02-22T00:00:00"/>
        <d v="2025-02-25T00:00:00"/>
        <d v="2025-02-26T00:00:00"/>
        <d v="2025-02-27T00:00:00"/>
        <d v="2025-02-28T00:00:00"/>
        <d v="2025-06-15T00:00:00"/>
        <d v="2025-06-16T00:00:00"/>
        <d v="2025-06-17T00:00:00"/>
        <d v="2025-06-18T00:00:00"/>
        <d v="2025-06-19T00:00:00"/>
        <d v="2025-06-23T00:00:00"/>
        <d v="2025-06-24T00:00:00"/>
        <d v="2025-06-25T00:00:00"/>
        <d v="2025-06-26T00:00:00"/>
      </sharedItems>
      <fieldGroup base="3">
        <rangePr groupBy="days" startDate="2025-01-02T00:00:00" endDate="2025-12-03T00:00:00" groupInterval="7"/>
        <groupItems count="50">
          <s v="&lt;02-01-2025"/>
          <s v="02-01-2025 - 08-01-2025"/>
          <s v="09-01-2025 - 15-01-2025"/>
          <s v="16-01-2025 - 22-01-2025"/>
          <s v="23-01-2025 - 29-01-2025"/>
          <s v="30-01-2025 - 05-02-2025"/>
          <s v="06-02-2025 - 12-02-2025"/>
          <s v="13-02-2025 - 19-02-2025"/>
          <s v="20-02-2025 - 26-02-2025"/>
          <s v="27-02-2025 - 05-03-2025"/>
          <s v="06-03-2025 - 12-03-2025"/>
          <s v="13-03-2025 - 19-03-2025"/>
          <s v="20-03-2025 - 26-03-2025"/>
          <s v="27-03-2025 - 02-04-2025"/>
          <s v="03-04-2025 - 09-04-2025"/>
          <s v="10-04-2025 - 16-04-2025"/>
          <s v="17-04-2025 - 23-04-2025"/>
          <s v="24-04-2025 - 30-04-2025"/>
          <s v="01-05-2025 - 07-05-2025"/>
          <s v="08-05-2025 - 14-05-2025"/>
          <s v="15-05-2025 - 21-05-2025"/>
          <s v="22-05-2025 - 28-05-2025"/>
          <s v="29-05-2025 - 04-06-2025"/>
          <s v="05-06-2025 - 11-06-2025"/>
          <s v="12-06-2025 - 18-06-2025"/>
          <s v="19-06-2025 - 25-06-2025"/>
          <s v="26-06-2025 - 02-07-2025"/>
          <s v="03-07-2025 - 09-07-2025"/>
          <s v="10-07-2025 - 16-07-2025"/>
          <s v="17-07-2025 - 23-07-2025"/>
          <s v="24-07-2025 - 30-07-2025"/>
          <s v="31-07-2025 - 06-08-2025"/>
          <s v="07-08-2025 - 13-08-2025"/>
          <s v="14-08-2025 - 20-08-2025"/>
          <s v="21-08-2025 - 27-08-2025"/>
          <s v="28-08-2025 - 03-09-2025"/>
          <s v="04-09-2025 - 10-09-2025"/>
          <s v="11-09-2025 - 17-09-2025"/>
          <s v="18-09-2025 - 24-09-2025"/>
          <s v="25-09-2025 - 01-10-2025"/>
          <s v="02-10-2025 - 08-10-2025"/>
          <s v="09-10-2025 - 15-10-2025"/>
          <s v="16-10-2025 - 22-10-2025"/>
          <s v="23-10-2025 - 29-10-2025"/>
          <s v="30-10-2025 - 05-11-2025"/>
          <s v="06-11-2025 - 12-11-2025"/>
          <s v="13-11-2025 - 19-11-2025"/>
          <s v="20-11-2025 - 26-11-2025"/>
          <s v="27-11-2025 - 03-12-2025"/>
          <s v="&gt;03-12-2025"/>
        </groupItems>
      </fieldGroup>
    </cacheField>
    <cacheField name="Count" numFmtId="0">
      <sharedItems containsSemiMixedTypes="0" containsString="0" containsNumber="1" containsInteger="1" minValue="1" maxValue="31"/>
    </cacheField>
    <cacheField name="Case ID" numFmtId="0">
      <sharedItems containsSemiMixedTypes="0" containsString="0" containsNumber="1" containsInteger="1" minValue="9190671622" maxValue="11249570522"/>
    </cacheField>
    <cacheField name="Case Disposition" numFmtId="0">
      <sharedItems count="5">
        <s v="Transfer"/>
        <s v="PMA"/>
        <s v="Resolved"/>
        <s v="PAA"/>
        <s v="Unassigned"/>
      </sharedItems>
    </cacheField>
    <cacheField name="Skill" numFmtId="0">
      <sharedItems/>
    </cacheField>
    <cacheField name="Comments" numFmtId="0">
      <sharedItems/>
    </cacheField>
    <cacheField name="Escalation"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gam, Amrin" refreshedDate="45855.008600347224" createdVersion="7" refreshedVersion="7" minRefreshableVersion="3" recordCount="1036" xr:uid="{0646DD66-74D4-4CD6-BDE1-8C4C7D843297}">
  <cacheSource type="worksheet">
    <worksheetSource ref="A1:H1037" sheet="Data"/>
  </cacheSource>
  <cacheFields count="8">
    <cacheField name="Week" numFmtId="0">
      <sharedItems containsSemiMixedTypes="0" containsString="0" containsNumber="1" containsInteger="1" minValue="1" maxValue="49"/>
    </cacheField>
    <cacheField name="Month" numFmtId="0">
      <sharedItems count="8">
        <s v="Jan2025"/>
        <s v="Feb2025"/>
        <s v="Apr2025"/>
        <s v="May2025"/>
        <s v="Jun2025"/>
        <s v="Jul2025"/>
        <s v="Nov2025"/>
        <s v="Dec2025"/>
      </sharedItems>
    </cacheField>
    <cacheField name="Day" numFmtId="0">
      <sharedItems/>
    </cacheField>
    <cacheField name="Date" numFmtId="14">
      <sharedItems containsSemiMixedTypes="0" containsNonDate="0" containsDate="1" containsString="0" minDate="2025-01-02T00:00:00" maxDate="2025-12-03T00:00:00"/>
    </cacheField>
    <cacheField name="Count"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Case ID" numFmtId="0">
      <sharedItems containsSemiMixedTypes="0" containsString="0" containsNumber="1" containsInteger="1" minValue="9190671622" maxValue="11249570522" count="961">
        <n v="10691104772"/>
        <n v="10680123972"/>
        <n v="10683507902"/>
        <n v="10682325712"/>
        <n v="10472816962"/>
        <n v="10687631122"/>
        <n v="10691745962"/>
        <n v="10688127342"/>
        <n v="10673689682"/>
        <n v="10691510562"/>
        <n v="10691612622"/>
        <n v="10687226472"/>
        <n v="10691456342"/>
        <n v="10692697022"/>
        <n v="10692914732"/>
        <n v="10676184092"/>
        <n v="10694527502"/>
        <n v="10693780822"/>
        <n v="10694789962"/>
        <n v="10686001022"/>
        <n v="10694220542"/>
        <n v="10692666722"/>
        <n v="10694573542"/>
        <n v="10694729622"/>
        <n v="10657751562"/>
        <n v="10694396672"/>
        <n v="10672807182"/>
        <n v="10691026862"/>
        <n v="10680037052"/>
        <n v="10695267352"/>
        <n v="10695298132"/>
        <n v="10695786382"/>
        <n v="10695073522"/>
        <n v="10695859252"/>
        <n v="10679782222"/>
        <n v="10695986372"/>
        <n v="10690833742"/>
        <n v="10697433712"/>
        <n v="10690819112"/>
        <n v="10689565572"/>
        <n v="10697619642"/>
        <n v="10689214202"/>
        <n v="10684847642"/>
        <n v="10665548452"/>
        <n v="10697992412"/>
        <n v="10681415982"/>
        <n v="10697903192"/>
        <n v="10697983582"/>
        <n v="10698554102"/>
        <n v="10681553422"/>
        <n v="10698558912"/>
        <n v="10698198092"/>
        <n v="10684829752"/>
        <n v="10698869712"/>
        <n v="10632720982"/>
        <n v="10692355072"/>
        <n v="10692634822"/>
        <n v="10693255412"/>
        <n v="10694732472"/>
        <n v="10690631522"/>
        <n v="10683478002"/>
        <n v="10693130582"/>
        <n v="10693890132"/>
        <n v="10699065612"/>
        <n v="10682112762"/>
        <n v="10699946072"/>
        <n v="10699979222"/>
        <n v="10700029662"/>
        <n v="10700450482"/>
        <n v="10694523652"/>
        <n v="10694452952"/>
        <n v="10700939212"/>
        <n v="10700957592"/>
        <n v="10697117212"/>
        <n v="10697582732"/>
        <n v="10701209692"/>
        <n v="10543349372"/>
        <n v="10700706702"/>
        <n v="10701161422"/>
        <n v="10700807812"/>
        <n v="10688552812"/>
        <n v="10696218362"/>
        <n v="10701569842"/>
        <n v="10702251802"/>
        <n v="10701776952"/>
        <n v="10702445852"/>
        <n v="10701054712"/>
        <n v="10702784802"/>
        <n v="10706808982"/>
        <n v="10702729792"/>
        <n v="10697931522"/>
        <n v="10697967422"/>
        <n v="10701754652"/>
        <n v="10702604652"/>
        <n v="10703536132"/>
        <n v="10703569612"/>
        <n v="10622949542"/>
        <n v="10699589782"/>
        <n v="10707641862"/>
        <n v="10711680612"/>
        <n v="10686212972"/>
        <n v="10710779662"/>
        <n v="10710671102"/>
        <n v="10709276782"/>
        <n v="10712344502"/>
        <n v="10704677712"/>
        <n v="10705335932"/>
        <n v="10712012692"/>
        <n v="10712002452"/>
        <n v="10712627252"/>
        <n v="10709440662"/>
        <n v="10694249592"/>
        <n v="10712420802"/>
        <n v="10705563662"/>
        <n v="10668563822"/>
        <n v="10713740692"/>
        <n v="10703797122"/>
        <n v="10712673612"/>
        <n v="10714374742"/>
        <n v="10713053352"/>
        <n v="10708223362"/>
        <n v="10714927132"/>
        <n v="10713852862"/>
        <n v="10638550132"/>
        <n v="10707170392"/>
        <n v="10714746962"/>
        <n v="10714824872"/>
        <n v="10714936802"/>
        <n v="10706061282"/>
        <n v="10709176092"/>
        <n v="10715578772"/>
        <n v="10714665402"/>
        <n v="10715437322"/>
        <n v="10674376312"/>
        <n v="10590311422"/>
        <n v="10715495522"/>
        <n v="10705681592"/>
        <n v="10711298442"/>
        <n v="10706987982"/>
        <n v="10706527692"/>
        <n v="10707416862"/>
        <n v="10717979842"/>
        <n v="10712723252"/>
        <n v="10718038222"/>
        <n v="10676644972"/>
        <n v="10717227622"/>
        <n v="10481645332"/>
        <n v="10717774582"/>
        <n v="10712690702"/>
        <n v="10717391652"/>
        <n v="10717774022"/>
        <n v="10711842112"/>
        <n v="10717766872"/>
        <n v="10717142642"/>
        <n v="10717940732"/>
        <n v="10716400052"/>
        <n v="10717801982"/>
        <n v="10716916222"/>
        <n v="10718148432"/>
        <n v="10718177212"/>
        <n v="10713992762"/>
        <n v="10715197812"/>
        <n v="10723808572"/>
        <n v="10705379012"/>
        <n v="10724456112"/>
        <n v="10725080472"/>
        <n v="10723443142"/>
        <n v="10724356382"/>
        <n v="10723506932"/>
        <n v="10719520122"/>
        <n v="10724391312"/>
        <n v="10724600742"/>
        <n v="10724994882"/>
        <n v="10701760422"/>
        <n v="10725111962"/>
        <n v="10725285902"/>
        <n v="10725770152"/>
        <n v="10724820752"/>
        <n v="10653941782"/>
        <n v="10725433962"/>
        <n v="10724909772"/>
        <n v="10725449312"/>
        <n v="10725662052"/>
        <n v="10718384482"/>
        <n v="10651963862"/>
        <n v="10726511022"/>
        <n v="10717059482"/>
        <n v="10719312792"/>
        <n v="10696778472"/>
        <n v="10727690812"/>
        <n v="10728454202"/>
        <n v="10723289972"/>
        <n v="10727823402"/>
        <n v="10728033162"/>
        <n v="10723298192"/>
        <n v="10726910072"/>
        <n v="10726816752"/>
        <n v="10728458282"/>
        <n v="10657355442"/>
        <n v="10725399422"/>
        <n v="10655906282"/>
        <n v="10728914002"/>
        <n v="9862668932"/>
        <n v="10729011202"/>
        <n v="10725253562"/>
        <n v="10729226102"/>
        <n v="10728777802"/>
        <n v="10729497732"/>
        <n v="10726928902"/>
        <n v="10730050322"/>
        <n v="10692904272"/>
        <n v="10723574462"/>
        <n v="10728941532"/>
        <n v="10724533972"/>
        <n v="10707816552"/>
        <n v="10731420412"/>
        <n v="10731990572"/>
        <n v="10731105212"/>
        <n v="10730890592"/>
        <n v="10731572392"/>
        <n v="10731616202"/>
        <n v="10721152382"/>
        <n v="10731618572"/>
        <n v="10710385462"/>
        <n v="10732706252"/>
        <n v="10732441312"/>
        <n v="10730105232"/>
        <n v="10732715242"/>
        <n v="10732921942"/>
        <n v="10733025542"/>
        <n v="10724800722"/>
        <n v="10725698152"/>
        <n v="10734767862"/>
        <n v="10724221972"/>
        <n v="10734354762"/>
        <n v="10734509412"/>
        <n v="10727444522"/>
        <n v="10735347652"/>
        <n v="10656405392"/>
        <n v="10734149542"/>
        <n v="10735461232"/>
        <n v="10735215202"/>
        <n v="10712023852"/>
        <n v="10735110602"/>
        <n v="10735202482"/>
        <n v="10728486162"/>
        <n v="10720763802"/>
        <n v="10735416072"/>
        <n v="10735364342"/>
        <n v="10735947312"/>
        <n v="10729742812"/>
        <n v="10736585722"/>
        <n v="10131856552"/>
        <n v="10737613462"/>
        <n v="10706743272"/>
        <n v="10737690732"/>
        <n v="10731439992"/>
        <n v="10529503402"/>
        <n v="10737841822"/>
        <n v="10737890512"/>
        <n v="10737638822"/>
        <n v="10726363072"/>
        <n v="10737529992"/>
        <n v="10738130702"/>
        <n v="10730214682"/>
        <n v="10737551312"/>
        <n v="10737540042"/>
        <n v="10738265022"/>
        <n v="10737723632"/>
        <n v="10735706092"/>
        <n v="10736474862"/>
        <n v="10738406072"/>
        <n v="10736146252"/>
        <n v="10728563392"/>
        <n v="10726654172"/>
        <n v="10745970082"/>
        <n v="10736115522"/>
        <n v="10622355602"/>
        <n v="10734037002"/>
        <n v="10747377162"/>
        <n v="10746902852"/>
        <n v="10747611872"/>
        <n v="10748011282"/>
        <n v="10712109642"/>
        <n v="10747745402"/>
        <n v="10748453212"/>
        <n v="10748157562"/>
        <n v="10747694552"/>
        <n v="10746961512"/>
        <n v="10748111432"/>
        <n v="10737228302"/>
        <n v="10752812142"/>
        <n v="10747753622"/>
        <n v="10711539092"/>
        <n v="10741952512"/>
        <n v="10752640352"/>
        <n v="10729892742"/>
        <n v="10732616332"/>
        <n v="10752783872"/>
        <n v="10746740932"/>
        <n v="10753718652"/>
        <n v="10748756362"/>
        <n v="10745284682"/>
        <n v="10753908802"/>
        <n v="10738208482"/>
        <n v="10454480612"/>
        <n v="10754449692"/>
        <n v="10754931882"/>
        <n v="10755408302"/>
        <n v="10755078142"/>
        <n v="10755642762"/>
        <n v="10753725242"/>
        <n v="10735058492"/>
        <n v="10755725332"/>
        <n v="10755568982"/>
        <n v="10755855382"/>
        <n v="10757697242"/>
        <n v="10753644942"/>
        <n v="10705768972"/>
        <n v="10757452512"/>
        <n v="10749486222"/>
        <n v="10758059972"/>
        <n v="10756176632"/>
        <n v="10754697852"/>
        <n v="10664810712"/>
        <n v="10758813672"/>
        <n v="10746390212"/>
        <n v="10631546752"/>
        <n v="10758102442"/>
        <n v="10758960772"/>
        <n v="10758171672"/>
        <n v="10758732312"/>
        <n v="10757814132"/>
        <n v="10758944782"/>
        <n v="10753183902"/>
        <n v="10757309982"/>
        <n v="10738909832"/>
        <n v="10758087052"/>
        <n v="10759122452"/>
        <n v="10758905732"/>
        <n v="10721977672"/>
        <n v="10754749362"/>
        <n v="10753352202"/>
        <n v="10762989732"/>
        <n v="10762436052"/>
        <n v="10752510272"/>
        <n v="10753924842"/>
        <n v="10762986942"/>
        <n v="10762895952"/>
        <n v="10762897482"/>
        <n v="10763955682"/>
        <n v="10763294912"/>
        <n v="10763055022"/>
        <n v="10762951192"/>
        <n v="10753186312"/>
        <n v="10753687672"/>
        <n v="10762546732"/>
        <n v="10762448512"/>
        <n v="10655135682"/>
        <n v="10762904082"/>
        <n v="10763961102"/>
        <n v="10763221282"/>
        <n v="10752952612"/>
        <n v="10764054762"/>
        <n v="10769593002"/>
        <n v="10770686272"/>
        <n v="10769491162"/>
        <n v="10732804732"/>
        <n v="10736897972"/>
        <n v="10770766752"/>
        <n v="10770219172"/>
        <n v="10770824282"/>
        <n v="10770533052"/>
        <n v="10770475092"/>
        <n v="10770630582"/>
        <n v="10770991732"/>
        <n v="10771056142"/>
        <n v="10770823102"/>
        <n v="10755686462"/>
        <n v="10733659912"/>
        <n v="10770840192"/>
        <n v="10773544392"/>
        <n v="10769720932"/>
        <n v="10774238352"/>
        <n v="10747699962"/>
        <n v="10774469552"/>
        <n v="10774397982"/>
        <n v="10755453082"/>
        <n v="10775141852"/>
        <n v="10769597612"/>
        <n v="10745415712"/>
        <n v="10753084042"/>
        <n v="10774376872"/>
        <n v="10775169282"/>
        <n v="10768997322"/>
        <n v="10775534732"/>
        <n v="10775937862"/>
        <n v="10755026072"/>
        <n v="10775707872"/>
        <n v="10775073292"/>
        <n v="10781340872"/>
        <n v="10775608952"/>
        <n v="10744302952"/>
        <n v="10781640462"/>
        <n v="10747143202"/>
        <n v="10781260592"/>
        <n v="10782295412"/>
        <n v="10585817742"/>
        <n v="10748023802"/>
        <n v="10782308022"/>
        <n v="10779804042"/>
        <n v="10781085532"/>
        <n v="10735682882"/>
        <n v="10781660392"/>
        <n v="10781839152"/>
        <n v="10774806572"/>
        <n v="10783006042"/>
        <n v="10783035352"/>
        <n v="10782770962"/>
        <n v="10752322532"/>
        <n v="10782881592"/>
        <n v="10620230772"/>
        <n v="10759247232"/>
        <n v="10783623622"/>
        <n v="10784364072"/>
        <n v="10778450022"/>
        <n v="10784370772"/>
        <n v="10784461302"/>
        <n v="10783164162"/>
        <n v="10784716212"/>
        <n v="10772617392"/>
        <n v="10784950812"/>
        <n v="10771141482"/>
        <n v="10785804742"/>
        <n v="10668516602"/>
        <n v="10785407152"/>
        <n v="10771437132"/>
        <n v="10781640262"/>
        <n v="10784631642"/>
        <n v="10783968342"/>
        <n v="10786227562"/>
        <n v="10749459252"/>
        <n v="10784692382"/>
        <n v="10785821512"/>
        <n v="10780491092"/>
        <n v="10785178972"/>
        <n v="10796660672"/>
        <n v="10796456102"/>
        <n v="10781275412"/>
        <n v="10773057202"/>
        <n v="10754723282"/>
        <n v="10796644252"/>
        <n v="10763696162"/>
        <n v="10796209502"/>
        <n v="10797003892"/>
        <n v="10790077232"/>
        <n v="10796910922"/>
        <n v="10774667802"/>
        <n v="10797099212"/>
        <n v="10797092322"/>
        <n v="10797117032"/>
        <n v="10797206072"/>
        <n v="10795972952"/>
        <n v="10797402932"/>
        <n v="10797925432"/>
        <n v="10796997682"/>
        <n v="10782765832"/>
        <n v="10752315112"/>
        <n v="10797947812"/>
        <n v="10795214802"/>
        <n v="10784589902"/>
        <n v="10798034142"/>
        <n v="10798469832"/>
        <n v="10800536652"/>
        <n v="10800629392"/>
        <n v="10764092182"/>
        <n v="10800731252"/>
        <n v="10800054962"/>
        <n v="10801530372"/>
        <n v="10790789882"/>
        <n v="10798864032"/>
        <n v="10800502722"/>
        <n v="10795717062"/>
        <n v="10781026822"/>
        <n v="10769457462"/>
        <n v="10776096842"/>
        <n v="10802720312"/>
        <n v="10785966102"/>
        <n v="10801021632"/>
        <n v="10672229412"/>
        <n v="10802460102"/>
        <n v="10803061852"/>
        <n v="10794315882"/>
        <n v="10799992382"/>
        <n v="10785460532"/>
        <n v="10785954752"/>
        <n v="10774824422"/>
        <n v="10803485592"/>
        <n v="10803625112"/>
        <n v="10799792022"/>
        <n v="10802800832"/>
        <n v="10804857552"/>
        <n v="10805034052"/>
        <n v="10804876272"/>
        <n v="10805118382"/>
        <n v="10801258882"/>
        <n v="10798584702"/>
        <n v="10805851632"/>
        <n v="10806204212"/>
        <n v="10799510802"/>
        <n v="10785653572"/>
        <n v="10805759312"/>
        <n v="10805807062"/>
        <n v="10807992072"/>
        <n v="10791217822"/>
        <n v="10735131122"/>
        <n v="10773388592"/>
        <n v="10813056002"/>
        <n v="10811498492"/>
        <n v="10811993642"/>
        <n v="10812387922"/>
        <n v="10811909562"/>
        <n v="10811233432"/>
        <n v="10811341682"/>
        <n v="10812777722"/>
        <n v="10810528972"/>
        <n v="10798544612"/>
        <n v="10792316432"/>
        <n v="10811234382"/>
        <n v="10812911452"/>
        <n v="10813365652"/>
        <n v="10812317382"/>
        <n v="10800343952"/>
        <n v="10792201102"/>
        <n v="10813079902"/>
        <n v="10794946202"/>
        <n v="10813775672"/>
        <n v="10824986192"/>
        <n v="10824712522"/>
        <n v="10825200372"/>
        <n v="10808092422"/>
        <n v="10825019502"/>
        <n v="10825367022"/>
        <n v="10825600832"/>
        <n v="10791558752"/>
        <n v="10825777092"/>
        <n v="10825706522"/>
        <n v="10825737412"/>
        <n v="10826252872"/>
        <n v="10758950502"/>
        <n v="10825852902"/>
        <n v="10825838022"/>
        <n v="10825257962"/>
        <n v="10826095512"/>
        <n v="10756635812"/>
        <n v="10811607022"/>
        <n v="10823682182"/>
        <n v="10826548892"/>
        <n v="10826263492"/>
        <n v="10823941962"/>
        <n v="10820903392"/>
        <n v="10822775072"/>
        <n v="10826524042"/>
        <n v="10653525222"/>
        <n v="10826447382"/>
        <n v="10783394872"/>
        <n v="10824402642"/>
        <n v="10811739142"/>
        <n v="10755926792"/>
        <n v="10828204022"/>
        <n v="10828416972"/>
        <n v="10827954992"/>
        <n v="10805382512"/>
        <n v="10595796002"/>
        <n v="10828822282"/>
        <n v="10826325622"/>
        <n v="10828847732"/>
        <n v="10641519692"/>
        <n v="10805909612"/>
        <n v="10829706552"/>
        <n v="10807385042"/>
        <n v="10829789982"/>
        <n v="10829280522"/>
        <n v="10808316462"/>
        <n v="10829704662"/>
        <n v="10829511722"/>
        <n v="10829161932"/>
        <n v="10828784272"/>
        <n v="10818471022"/>
        <n v="10808803612"/>
        <n v="10817018842"/>
        <n v="10826462102"/>
        <n v="10799393562"/>
        <n v="10827683482"/>
        <n v="10816673532"/>
        <n v="10835632042"/>
        <n v="10816338442"/>
        <n v="10821589502"/>
        <n v="10827232902"/>
        <n v="10834239842"/>
        <n v="10836181502"/>
        <n v="10836219572"/>
        <n v="10835474562"/>
        <n v="10836443212"/>
        <n v="10830051672"/>
        <n v="10836025212"/>
        <n v="10802784902"/>
        <n v="10835240982"/>
        <n v="10834255832"/>
        <n v="10836580162"/>
        <n v="10828506902"/>
        <n v="10839033932"/>
        <n v="10840468132"/>
        <n v="10839900992"/>
        <n v="10839785822"/>
        <n v="10803084372"/>
        <n v="10840316692"/>
        <n v="10807121222"/>
        <n v="10839677572"/>
        <n v="10838649382"/>
        <n v="10839766952"/>
        <n v="10817109342"/>
        <n v="10730143422"/>
        <n v="10768342522"/>
        <n v="10829030402"/>
        <n v="10789696872"/>
        <n v="10811627712"/>
        <n v="10840366612"/>
        <n v="10493211082"/>
        <n v="10840865382"/>
        <n v="10834600722"/>
        <n v="10841420622"/>
        <n v="10826951382"/>
        <n v="10826519832"/>
        <n v="10841596382"/>
        <n v="10841751802"/>
        <n v="10830863582"/>
        <n v="9190671622"/>
        <n v="10631416632"/>
        <n v="10240693892"/>
        <n v="10799670002"/>
        <n v="10802890992"/>
        <n v="10813406102"/>
        <n v="10843965022"/>
        <n v="10844399842"/>
        <n v="10844535862"/>
        <n v="10830780082"/>
        <n v="10845772412"/>
        <n v="10821334992"/>
        <n v="10828517092"/>
        <n v="10844542642"/>
        <n v="10830903792"/>
        <n v="10830249102"/>
        <n v="10845554982"/>
        <n v="10816020692"/>
        <n v="10845830652"/>
        <n v="10845876102"/>
        <n v="10845291312"/>
        <n v="10844210852"/>
        <n v="10844582502"/>
        <n v="10845398992"/>
        <n v="10817749872"/>
        <n v="10850501762"/>
        <n v="10850270592"/>
        <n v="10830351932"/>
        <n v="10850895572"/>
        <n v="10811672872"/>
        <n v="10851150342"/>
        <n v="10851278762"/>
        <n v="10851211502"/>
        <n v="10084746772"/>
        <n v="10851792142"/>
        <n v="10850406192"/>
        <n v="10852397942"/>
        <n v="10852150242"/>
        <n v="10847941362"/>
        <n v="10821818742"/>
        <n v="10851654222"/>
        <n v="10828977422"/>
        <n v="10836760362"/>
        <n v="10826343652"/>
        <n v="10850275652"/>
        <n v="10839101272"/>
        <n v="10852465162"/>
        <n v="10852978582"/>
        <n v="10846492982"/>
        <n v="10853088512"/>
        <n v="10689614462"/>
        <n v="10852515482"/>
        <n v="10852486332"/>
        <n v="10790297742"/>
        <n v="10853659492"/>
        <n v="10839296552"/>
        <n v="10857904742"/>
        <n v="10858270772"/>
        <n v="10859095242"/>
        <n v="10857549012"/>
        <n v="10570036152"/>
        <n v="10757948342"/>
        <n v="10858821752"/>
        <n v="10859067882"/>
        <n v="10856929572"/>
        <n v="10551683852"/>
        <n v="10852216722"/>
        <n v="10856802262"/>
        <n v="10852936422"/>
        <n v="10857575152"/>
        <n v="10858342592"/>
        <n v="10821456262"/>
        <n v="10454337522"/>
        <n v="10846593522"/>
        <n v="10858766092"/>
        <n v="10849461332"/>
        <n v="10767768372"/>
        <n v="10859700132"/>
        <n v="10858599122"/>
        <n v="10827518102"/>
        <n v="10861178122"/>
        <n v="10861173502"/>
        <n v="10825506002"/>
        <n v="10804973762"/>
        <n v="10857123742"/>
        <n v="10825931592"/>
        <n v="10790791742"/>
        <n v="10861215552"/>
        <n v="10103993222"/>
        <n v="10861596382"/>
        <n v="10859352772"/>
        <n v="10862886852"/>
        <n v="10827620252"/>
        <n v="10863015742"/>
        <n v="10766788132"/>
        <n v="10862544322"/>
        <n v="10847353372"/>
        <n v="10861663602"/>
        <n v="10863401852"/>
        <n v="10861360112"/>
        <n v="10862855252"/>
        <n v="10863013962"/>
        <n v="10863175752"/>
        <n v="10846126622"/>
        <n v="10849063542"/>
        <n v="10824428332"/>
        <n v="10867980372"/>
        <n v="10847011312"/>
        <n v="10867568422"/>
        <n v="10868333252"/>
        <n v="10867707642"/>
        <n v="10846394032"/>
        <n v="10862526522"/>
        <n v="10866912262"/>
        <n v="10868098642"/>
        <n v="10867567762"/>
        <n v="10858881792"/>
        <n v="10869004272"/>
        <n v="10840165842"/>
        <n v="10869167462"/>
        <n v="10866680732"/>
        <n v="10868946882"/>
        <n v="10869382972"/>
        <n v="10829010452"/>
        <n v="10827497172"/>
        <n v="10841357082"/>
        <n v="9998565992"/>
        <n v="10870104452"/>
        <n v="10783345302"/>
        <n v="10870008432"/>
        <n v="10870158762"/>
        <n v="10835354752"/>
        <n v="10870232612"/>
        <n v="10858233172"/>
        <n v="11210060192"/>
        <n v="11198326272"/>
        <n v="11024469932"/>
        <n v="11210285032"/>
        <n v="11209876402"/>
        <n v="11210481012"/>
        <n v="11106228762"/>
        <n v="11210961972"/>
        <n v="11195195272"/>
        <n v="11211014002"/>
        <n v="11210532542"/>
        <n v="11211135702"/>
        <n v="11212370692"/>
        <n v="11195910312"/>
        <n v="11212047982"/>
        <n v="11212066562"/>
        <n v="11212454362"/>
        <n v="11212315052"/>
        <n v="11212430372"/>
        <n v="11212870552"/>
        <n v="11203213612"/>
        <n v="11212988152"/>
        <n v="10841721542"/>
        <n v="11212502302"/>
        <n v="11213376542"/>
        <n v="11145299512"/>
        <n v="11213557752"/>
        <n v="11213378392"/>
        <n v="11213673182"/>
        <n v="11214120592"/>
        <n v="11213253512"/>
        <n v="11213909012"/>
        <n v="11213362332"/>
        <n v="11214015222"/>
        <n v="11214606062"/>
        <n v="11170517432"/>
        <n v="11186300642"/>
        <n v="11207192562"/>
        <n v="11205760922"/>
        <n v="11210521822"/>
        <n v="11213542152"/>
        <n v="11216082762"/>
        <n v="11213624782"/>
        <n v="11216802052"/>
        <n v="11174442202"/>
        <n v="11213588342"/>
        <n v="11217189732"/>
        <n v="11209711302"/>
        <n v="11175133002"/>
        <n v="11217042902"/>
        <n v="11204050072"/>
        <n v="11209891702"/>
        <n v="11217320152"/>
        <n v="11217591002"/>
        <n v="11218004422"/>
        <n v="11215794762"/>
        <n v="11218117772"/>
        <n v="11216771972"/>
        <n v="11217873912"/>
        <n v="11219275182"/>
        <n v="11218599172"/>
        <n v="11211434672"/>
        <n v="11219508512"/>
        <n v="11218839322"/>
        <n v="11219607272"/>
        <n v="11219999902"/>
        <n v="11219866002"/>
        <n v="11220349202"/>
        <n v="11221212512"/>
        <n v="11219630222"/>
        <n v="11221800522"/>
        <n v="11221943392"/>
        <n v="11201236612"/>
        <n v="11214220532"/>
        <n v="11221874052"/>
        <n v="11221732122"/>
        <n v="11222354172"/>
        <n v="11218750942"/>
        <n v="11222596512"/>
        <n v="11222112872"/>
        <n v="11222091192"/>
        <n v="11222310232"/>
        <n v="11224177872"/>
        <n v="11223862012"/>
        <n v="11224367422"/>
        <n v="11224469322"/>
        <n v="11137111952"/>
        <n v="11224281512"/>
        <n v="11222080582"/>
        <n v="11224450612"/>
        <n v="11224425242"/>
        <n v="11224985412"/>
        <n v="11172021912"/>
        <n v="11224616622"/>
        <n v="11225197102"/>
        <n v="11224509202"/>
        <n v="11212584072"/>
        <n v="11217683752"/>
        <n v="11219699482"/>
        <n v="11225742312"/>
        <n v="11170810202"/>
        <n v="10720180962"/>
        <n v="11225900172"/>
        <n v="11236322312"/>
        <n v="11236363052"/>
        <n v="11236188402"/>
        <n v="11231450942"/>
        <n v="11235835522"/>
        <n v="11236307892"/>
        <n v="11236520272"/>
        <n v="11239757272"/>
        <n v="11239844472"/>
        <n v="11239705572"/>
        <n v="11239752102"/>
        <n v="11222587392"/>
        <n v="11239772542"/>
        <n v="11240183482"/>
        <n v="11240383412"/>
        <n v="11233541752"/>
        <n v="11238399002"/>
        <n v="11240656532"/>
        <n v="11240699962"/>
        <n v="11240927662"/>
        <n v="11240968452"/>
        <n v="11239298712"/>
        <n v="11241140862"/>
        <n v="11241112522"/>
        <n v="11241278072"/>
        <n v="11241298122"/>
        <n v="11232460712"/>
        <n v="11241347742"/>
        <n v="11241439442"/>
        <n v="11241415032"/>
        <n v="11241604562"/>
        <n v="11241648752"/>
        <n v="11241315432"/>
        <n v="11241788212"/>
        <n v="11203309922"/>
        <n v="11225908262"/>
        <n v="11243275812"/>
        <n v="11243487262"/>
        <n v="11243527462"/>
        <n v="11243645812"/>
        <n v="11243658672"/>
        <n v="11243830482"/>
        <n v="11244006152"/>
        <n v="11243942092"/>
        <n v="11244006082"/>
        <n v="11244151172"/>
        <n v="11235044832"/>
        <n v="11244163232"/>
        <n v="11230643782"/>
        <n v="11244225792"/>
        <n v="11244282932"/>
        <n v="11203387942"/>
        <n v="11244599302"/>
        <n v="11236612262"/>
        <n v="11244437302"/>
        <n v="11244777262"/>
        <n v="11244810752"/>
        <n v="11200052862"/>
        <n v="11244933402"/>
        <n v="11242956662"/>
        <n v="11245030442"/>
        <n v="11245090652"/>
        <n v="11178857832"/>
        <n v="11245254792"/>
        <n v="11240699872"/>
        <n v="11244188292"/>
        <n v="11246605382"/>
        <n v="11246670422"/>
        <n v="11246746422"/>
        <n v="11247008072"/>
        <n v="11240101922"/>
        <n v="11247445232"/>
        <n v="11247380242"/>
        <n v="11247430552"/>
        <n v="11111758012"/>
        <n v="11246775322"/>
        <n v="11247771492"/>
        <n v="11247804612"/>
        <n v="11246321852"/>
        <n v="11248255932"/>
        <n v="11248189442"/>
        <n v="11248857232"/>
        <n v="11147188492"/>
        <n v="11249068432"/>
        <n v="11249570112"/>
        <n v="11249293212"/>
        <n v="11249570522"/>
      </sharedItems>
    </cacheField>
    <cacheField name="Case Disposition" numFmtId="0">
      <sharedItems count="5">
        <s v="Transfer"/>
        <s v="PMA"/>
        <s v="Resolved"/>
        <s v="PAA"/>
        <s v="Unassigned"/>
      </sharedItems>
    </cacheField>
    <cacheField name="Skill" numFmtId="0">
      <sharedItems count="3">
        <s v="ILAC"/>
        <s v="FBA"/>
        <s v="MAT"/>
      </sharedItems>
    </cacheField>
  </cacheFields>
  <extLst>
    <ext xmlns:x14="http://schemas.microsoft.com/office/spreadsheetml/2009/9/main" uri="{725AE2AE-9491-48be-B2B4-4EB974FC3084}">
      <x14:pivotCacheDefinition pivotCacheId="601068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6">
  <r>
    <n v="2"/>
    <x v="0"/>
    <s v="Thursday"/>
    <d v="2025-01-09T00:00:00"/>
    <n v="1"/>
    <x v="0"/>
    <x v="0"/>
    <x v="0"/>
    <s v="HV"/>
    <x v="0"/>
  </r>
  <r>
    <n v="2"/>
    <x v="0"/>
    <s v="Thursday"/>
    <d v="2025-01-09T00:00:00"/>
    <n v="2"/>
    <x v="1"/>
    <x v="1"/>
    <x v="0"/>
    <s v="POD"/>
    <x v="0"/>
  </r>
  <r>
    <n v="2"/>
    <x v="0"/>
    <s v="Thursday"/>
    <d v="2025-01-09T00:00:00"/>
    <n v="3"/>
    <x v="2"/>
    <x v="1"/>
    <x v="0"/>
    <s v="Invoice"/>
    <x v="0"/>
  </r>
  <r>
    <n v="2"/>
    <x v="0"/>
    <s v="Thursday"/>
    <d v="2025-01-09T00:00:00"/>
    <n v="4"/>
    <x v="3"/>
    <x v="2"/>
    <x v="0"/>
    <s v="Reimbursed"/>
    <x v="0"/>
  </r>
  <r>
    <n v="2"/>
    <x v="0"/>
    <s v="Thursday"/>
    <d v="2025-01-09T00:00:00"/>
    <n v="5"/>
    <x v="4"/>
    <x v="1"/>
    <x v="1"/>
    <s v="Req info"/>
    <x v="1"/>
  </r>
  <r>
    <n v="2"/>
    <x v="0"/>
    <s v="Thursday"/>
    <d v="2025-01-09T00:00:00"/>
    <n v="6"/>
    <x v="5"/>
    <x v="0"/>
    <x v="2"/>
    <s v="BR support"/>
    <x v="1"/>
  </r>
  <r>
    <n v="2"/>
    <x v="0"/>
    <s v="Thursday"/>
    <d v="2025-01-09T00:00:00"/>
    <n v="7"/>
    <x v="6"/>
    <x v="2"/>
    <x v="2"/>
    <s v="Seller no response"/>
    <x v="1"/>
  </r>
  <r>
    <n v="2"/>
    <x v="0"/>
    <s v="Thursday"/>
    <d v="2025-01-09T00:00:00"/>
    <n v="8"/>
    <x v="7"/>
    <x v="3"/>
    <x v="2"/>
    <s v="KSA - https://w.amazon.com/bin/view/KSA_FBA_Operations/ - Preferred FC "/>
    <x v="1"/>
  </r>
  <r>
    <n v="2"/>
    <x v="0"/>
    <s v="Thursday"/>
    <d v="2025-01-09T00:00:00"/>
    <n v="9"/>
    <x v="8"/>
    <x v="1"/>
    <x v="0"/>
    <s v="POD"/>
    <x v="1"/>
  </r>
  <r>
    <n v="2"/>
    <x v="0"/>
    <s v="Thursday"/>
    <d v="2025-01-09T00:00:00"/>
    <n v="10"/>
    <x v="9"/>
    <x v="2"/>
    <x v="1"/>
    <s v="Lost inventory"/>
    <x v="1"/>
  </r>
  <r>
    <n v="2"/>
    <x v="0"/>
    <s v="Thursday"/>
    <d v="2025-01-09T00:00:00"/>
    <n v="11"/>
    <x v="10"/>
    <x v="2"/>
    <x v="1"/>
    <s v="Contents tab"/>
    <x v="1"/>
  </r>
  <r>
    <n v="2"/>
    <x v="0"/>
    <s v="Thursday"/>
    <d v="2025-01-09T00:00:00"/>
    <n v="12"/>
    <x v="11"/>
    <x v="2"/>
    <x v="0"/>
    <s v="Reimbursed"/>
    <x v="0"/>
  </r>
  <r>
    <n v="2"/>
    <x v="0"/>
    <s v="Thursday"/>
    <d v="2025-01-09T00:00:00"/>
    <n v="13"/>
    <x v="7"/>
    <x v="3"/>
    <x v="1"/>
    <s v="Open TT"/>
    <x v="1"/>
  </r>
  <r>
    <n v="2"/>
    <x v="0"/>
    <s v="Thursday"/>
    <d v="2025-01-09T00:00:00"/>
    <n v="14"/>
    <x v="12"/>
    <x v="2"/>
    <x v="0"/>
    <s v="Merged case"/>
    <x v="1"/>
  </r>
  <r>
    <n v="2"/>
    <x v="0"/>
    <s v="Thursday"/>
    <d v="2025-01-09T00:00:00"/>
    <n v="15"/>
    <x v="13"/>
    <x v="2"/>
    <x v="1"/>
    <s v="Removal Order"/>
    <x v="1"/>
  </r>
  <r>
    <n v="2"/>
    <x v="0"/>
    <s v="Thursday"/>
    <d v="2025-01-09T00:00:00"/>
    <n v="16"/>
    <x v="14"/>
    <x v="1"/>
    <x v="0"/>
    <s v="Invoice"/>
    <x v="0"/>
  </r>
  <r>
    <n v="2"/>
    <x v="0"/>
    <s v="Thursday"/>
    <d v="2025-01-09T00:00:00"/>
    <n v="17"/>
    <x v="15"/>
    <x v="2"/>
    <x v="0"/>
    <s v="Reimbursed"/>
    <x v="1"/>
  </r>
  <r>
    <n v="2"/>
    <x v="0"/>
    <s v="Thursday"/>
    <d v="2025-01-09T00:00:00"/>
    <n v="18"/>
    <x v="7"/>
    <x v="2"/>
    <x v="1"/>
    <s v="Preferred FC"/>
    <x v="1"/>
  </r>
  <r>
    <n v="2"/>
    <x v="0"/>
    <s v="Friday"/>
    <d v="2025-01-10T00:00:00"/>
    <n v="1"/>
    <x v="16"/>
    <x v="3"/>
    <x v="1"/>
    <s v="Removal Order"/>
    <x v="1"/>
  </r>
  <r>
    <n v="2"/>
    <x v="0"/>
    <s v="Friday"/>
    <d v="2025-01-10T00:00:00"/>
    <n v="2"/>
    <x v="17"/>
    <x v="2"/>
    <x v="0"/>
    <s v="Merged case"/>
    <x v="1"/>
  </r>
  <r>
    <n v="2"/>
    <x v="0"/>
    <s v="Friday"/>
    <d v="2025-01-10T00:00:00"/>
    <n v="3"/>
    <x v="18"/>
    <x v="0"/>
    <x v="2"/>
    <s v="Feeds"/>
    <x v="1"/>
  </r>
  <r>
    <n v="2"/>
    <x v="0"/>
    <s v="Friday"/>
    <d v="2025-01-10T00:00:00"/>
    <n v="4"/>
    <x v="19"/>
    <x v="2"/>
    <x v="0"/>
    <s v="WD"/>
    <x v="1"/>
  </r>
  <r>
    <n v="2"/>
    <x v="0"/>
    <s v="Friday"/>
    <d v="2025-01-10T00:00:00"/>
    <n v="5"/>
    <x v="20"/>
    <x v="2"/>
    <x v="1"/>
    <s v="Warehouse transfer"/>
    <x v="1"/>
  </r>
  <r>
    <n v="2"/>
    <x v="0"/>
    <s v="Friday"/>
    <d v="2025-01-10T00:00:00"/>
    <n v="6"/>
    <x v="21"/>
    <x v="1"/>
    <x v="2"/>
    <s v="E5461"/>
    <x v="0"/>
  </r>
  <r>
    <n v="2"/>
    <x v="0"/>
    <s v="Friday"/>
    <d v="2025-01-10T00:00:00"/>
    <n v="7"/>
    <x v="22"/>
    <x v="2"/>
    <x v="1"/>
    <s v="WD"/>
    <x v="1"/>
  </r>
  <r>
    <n v="2"/>
    <x v="0"/>
    <s v="Friday"/>
    <d v="2025-01-10T00:00:00"/>
    <n v="8"/>
    <x v="23"/>
    <x v="0"/>
    <x v="2"/>
    <s v="BR support"/>
    <x v="0"/>
  </r>
  <r>
    <n v="2"/>
    <x v="0"/>
    <s v="Friday"/>
    <d v="2025-01-10T00:00:00"/>
    <n v="9"/>
    <x v="24"/>
    <x v="2"/>
    <x v="1"/>
    <s v="Seller performance"/>
    <x v="1"/>
  </r>
  <r>
    <n v="2"/>
    <x v="0"/>
    <s v="Friday"/>
    <d v="2025-01-10T00:00:00"/>
    <n v="10"/>
    <x v="25"/>
    <x v="0"/>
    <x v="2"/>
    <s v="Feeds"/>
    <x v="0"/>
  </r>
  <r>
    <n v="2"/>
    <x v="0"/>
    <s v="Friday"/>
    <d v="2025-01-10T00:00:00"/>
    <n v="11"/>
    <x v="26"/>
    <x v="3"/>
    <x v="1"/>
    <s v="Removal Order"/>
    <x v="1"/>
  </r>
  <r>
    <n v="2"/>
    <x v="0"/>
    <s v="Friday"/>
    <d v="2025-01-10T00:00:00"/>
    <n v="12"/>
    <x v="27"/>
    <x v="2"/>
    <x v="0"/>
    <s v="Reimbursed"/>
    <x v="0"/>
  </r>
  <r>
    <n v="2"/>
    <x v="0"/>
    <s v="Friday"/>
    <d v="2025-01-10T00:00:00"/>
    <n v="13"/>
    <x v="28"/>
    <x v="1"/>
    <x v="0"/>
    <s v="Re-evaluation request"/>
    <x v="1"/>
  </r>
  <r>
    <n v="2"/>
    <x v="0"/>
    <s v="Friday"/>
    <d v="2025-01-10T00:00:00"/>
    <n v="14"/>
    <x v="29"/>
    <x v="2"/>
    <x v="1"/>
    <s v="Seller flex order - Safe-T claim"/>
    <x v="1"/>
  </r>
  <r>
    <n v="2"/>
    <x v="0"/>
    <s v="Friday"/>
    <d v="2025-01-10T00:00:00"/>
    <n v="15"/>
    <x v="30"/>
    <x v="2"/>
    <x v="1"/>
    <s v="Preferred FC"/>
    <x v="0"/>
  </r>
  <r>
    <n v="2"/>
    <x v="0"/>
    <s v="Friday"/>
    <d v="2025-01-10T00:00:00"/>
    <n v="16"/>
    <x v="31"/>
    <x v="0"/>
    <x v="0"/>
    <s v="HV"/>
    <x v="1"/>
  </r>
  <r>
    <n v="2"/>
    <x v="0"/>
    <s v="Friday"/>
    <d v="2025-01-10T00:00:00"/>
    <n v="17"/>
    <x v="32"/>
    <x v="0"/>
    <x v="0"/>
    <s v="HV"/>
    <x v="0"/>
  </r>
  <r>
    <n v="2"/>
    <x v="0"/>
    <s v="Friday"/>
    <d v="2025-01-10T00:00:00"/>
    <n v="18"/>
    <x v="33"/>
    <x v="2"/>
    <x v="1"/>
    <s v="Removal Order"/>
    <x v="1"/>
  </r>
  <r>
    <n v="2"/>
    <x v="0"/>
    <s v="Friday"/>
    <d v="2025-01-10T00:00:00"/>
    <n v="19"/>
    <x v="34"/>
    <x v="1"/>
    <x v="0"/>
    <s v="Req info"/>
    <x v="0"/>
  </r>
  <r>
    <n v="2"/>
    <x v="0"/>
    <s v="Friday"/>
    <d v="2025-01-10T00:00:00"/>
    <n v="20"/>
    <x v="35"/>
    <x v="1"/>
    <x v="2"/>
    <s v="Open TT"/>
    <x v="1"/>
  </r>
  <r>
    <n v="2"/>
    <x v="0"/>
    <s v="Friday"/>
    <d v="2025-01-10T00:00:00"/>
    <n v="21"/>
    <x v="8"/>
    <x v="2"/>
    <x v="0"/>
    <s v="Reimbursed"/>
    <x v="0"/>
  </r>
  <r>
    <n v="2"/>
    <x v="0"/>
    <s v="Saturday"/>
    <d v="2025-01-11T00:00:00"/>
    <n v="1"/>
    <x v="36"/>
    <x v="1"/>
    <x v="0"/>
    <s v="Invoice"/>
    <x v="0"/>
  </r>
  <r>
    <n v="2"/>
    <x v="0"/>
    <s v="Saturday"/>
    <d v="2025-01-11T00:00:00"/>
    <n v="2"/>
    <x v="37"/>
    <x v="0"/>
    <x v="0"/>
    <s v="FBA"/>
    <x v="1"/>
  </r>
  <r>
    <n v="2"/>
    <x v="0"/>
    <s v="Saturday"/>
    <d v="2025-01-11T00:00:00"/>
    <n v="3"/>
    <x v="38"/>
    <x v="1"/>
    <x v="0"/>
    <s v="Invoice"/>
    <x v="1"/>
  </r>
  <r>
    <n v="2"/>
    <x v="0"/>
    <s v="Saturday"/>
    <d v="2025-01-11T00:00:00"/>
    <n v="4"/>
    <x v="39"/>
    <x v="2"/>
    <x v="0"/>
    <s v="Reconciled"/>
    <x v="1"/>
  </r>
  <r>
    <n v="2"/>
    <x v="0"/>
    <s v="Saturday"/>
    <d v="2025-01-11T00:00:00"/>
    <n v="5"/>
    <x v="40"/>
    <x v="2"/>
    <x v="2"/>
    <s v="E5461"/>
    <x v="1"/>
  </r>
  <r>
    <n v="2"/>
    <x v="0"/>
    <s v="Saturday"/>
    <d v="2025-01-11T00:00:00"/>
    <n v="6"/>
    <x v="41"/>
    <x v="2"/>
    <x v="0"/>
    <s v="Reimbursed"/>
    <x v="0"/>
  </r>
  <r>
    <n v="2"/>
    <x v="0"/>
    <s v="Saturday"/>
    <d v="2025-01-11T00:00:00"/>
    <n v="7"/>
    <x v="42"/>
    <x v="3"/>
    <x v="0"/>
    <s v="Open TT"/>
    <x v="1"/>
  </r>
  <r>
    <n v="2"/>
    <x v="0"/>
    <s v="Saturday"/>
    <d v="2025-01-11T00:00:00"/>
    <n v="8"/>
    <x v="43"/>
    <x v="2"/>
    <x v="0"/>
    <s v="Reimbursed"/>
    <x v="1"/>
  </r>
  <r>
    <n v="2"/>
    <x v="0"/>
    <s v="Saturday"/>
    <d v="2025-01-11T00:00:00"/>
    <n v="9"/>
    <x v="44"/>
    <x v="2"/>
    <x v="1"/>
    <s v="Lost inventory"/>
    <x v="1"/>
  </r>
  <r>
    <n v="2"/>
    <x v="0"/>
    <s v="Saturday"/>
    <d v="2025-01-11T00:00:00"/>
    <n v="10"/>
    <x v="45"/>
    <x v="1"/>
    <x v="2"/>
    <s v="Inactive listing"/>
    <x v="1"/>
  </r>
  <r>
    <n v="2"/>
    <x v="0"/>
    <s v="Saturday"/>
    <d v="2025-01-11T00:00:00"/>
    <n v="11"/>
    <x v="46"/>
    <x v="3"/>
    <x v="2"/>
    <s v="Open TT"/>
    <x v="1"/>
  </r>
  <r>
    <n v="2"/>
    <x v="0"/>
    <s v="Saturday"/>
    <d v="2025-01-11T00:00:00"/>
    <n v="12"/>
    <x v="47"/>
    <x v="3"/>
    <x v="2"/>
    <s v="Open TT"/>
    <x v="1"/>
  </r>
  <r>
    <n v="2"/>
    <x v="0"/>
    <s v="Saturday"/>
    <d v="2025-01-11T00:00:00"/>
    <n v="13"/>
    <x v="48"/>
    <x v="2"/>
    <x v="2"/>
    <s v="Order of a different selling account"/>
    <x v="1"/>
  </r>
  <r>
    <n v="2"/>
    <x v="0"/>
    <s v="Saturday"/>
    <d v="2025-01-11T00:00:00"/>
    <n v="14"/>
    <x v="49"/>
    <x v="2"/>
    <x v="1"/>
    <s v="Lost inventory"/>
    <x v="1"/>
  </r>
  <r>
    <n v="2"/>
    <x v="0"/>
    <s v="Saturday"/>
    <d v="2025-01-11T00:00:00"/>
    <n v="15"/>
    <x v="50"/>
    <x v="2"/>
    <x v="2"/>
    <s v="No query"/>
    <x v="0"/>
  </r>
  <r>
    <n v="2"/>
    <x v="0"/>
    <s v="Saturday"/>
    <d v="2025-01-11T00:00:00"/>
    <n v="16"/>
    <x v="51"/>
    <x v="3"/>
    <x v="2"/>
    <s v="Added follow up"/>
    <x v="1"/>
  </r>
  <r>
    <n v="2"/>
    <x v="0"/>
    <s v="Saturday"/>
    <d v="2025-01-11T00:00:00"/>
    <n v="17"/>
    <x v="47"/>
    <x v="2"/>
    <x v="2"/>
    <s v="BP"/>
    <x v="1"/>
  </r>
  <r>
    <n v="2"/>
    <x v="0"/>
    <s v="Saturday"/>
    <d v="2025-01-11T00:00:00"/>
    <n v="18"/>
    <x v="52"/>
    <x v="1"/>
    <x v="0"/>
    <s v="Invoice"/>
    <x v="0"/>
  </r>
  <r>
    <n v="2"/>
    <x v="0"/>
    <s v="Saturday"/>
    <d v="2025-01-11T00:00:00"/>
    <n v="19"/>
    <x v="53"/>
    <x v="2"/>
    <x v="2"/>
    <s v="Account status"/>
    <x v="1"/>
  </r>
  <r>
    <n v="2"/>
    <x v="0"/>
    <s v="Saturday"/>
    <d v="2025-01-11T00:00:00"/>
    <n v="20"/>
    <x v="54"/>
    <x v="3"/>
    <x v="1"/>
    <s v="Added follow up"/>
    <x v="1"/>
  </r>
  <r>
    <n v="3"/>
    <x v="0"/>
    <s v="Sunday"/>
    <d v="2025-01-12T00:00:00"/>
    <n v="1"/>
    <x v="55"/>
    <x v="3"/>
    <x v="0"/>
    <s v="Open TT"/>
    <x v="1"/>
  </r>
  <r>
    <n v="3"/>
    <x v="0"/>
    <s v="Sunday"/>
    <d v="2025-01-12T00:00:00"/>
    <n v="2"/>
    <x v="56"/>
    <x v="1"/>
    <x v="0"/>
    <s v="Invoice"/>
    <x v="0"/>
  </r>
  <r>
    <n v="3"/>
    <x v="0"/>
    <s v="Sunday"/>
    <d v="2025-01-12T00:00:00"/>
    <n v="3"/>
    <x v="57"/>
    <x v="2"/>
    <x v="0"/>
    <s v="Reimbursed"/>
    <x v="1"/>
  </r>
  <r>
    <n v="3"/>
    <x v="0"/>
    <s v="Sunday"/>
    <d v="2025-01-12T00:00:00"/>
    <n v="4"/>
    <x v="58"/>
    <x v="2"/>
    <x v="0"/>
    <s v="WD"/>
    <x v="1"/>
  </r>
  <r>
    <n v="3"/>
    <x v="0"/>
    <s v="Sunday"/>
    <d v="2025-01-12T00:00:00"/>
    <n v="5"/>
    <x v="59"/>
    <x v="1"/>
    <x v="0"/>
    <s v="POD"/>
    <x v="1"/>
  </r>
  <r>
    <n v="3"/>
    <x v="0"/>
    <s v="Sunday"/>
    <d v="2025-01-12T00:00:00"/>
    <n v="6"/>
    <x v="60"/>
    <x v="1"/>
    <x v="0"/>
    <s v="BOL"/>
    <x v="0"/>
  </r>
  <r>
    <n v="3"/>
    <x v="0"/>
    <s v="Sunday"/>
    <d v="2025-01-12T00:00:00"/>
    <n v="7"/>
    <x v="61"/>
    <x v="2"/>
    <x v="0"/>
    <s v="Reimbursed"/>
    <x v="1"/>
  </r>
  <r>
    <n v="3"/>
    <x v="0"/>
    <s v="Sunday"/>
    <d v="2025-01-12T00:00:00"/>
    <n v="8"/>
    <x v="62"/>
    <x v="2"/>
    <x v="1"/>
    <s v="WD"/>
    <x v="1"/>
  </r>
  <r>
    <n v="3"/>
    <x v="0"/>
    <s v="Sunday"/>
    <d v="2025-01-12T00:00:00"/>
    <n v="9"/>
    <x v="63"/>
    <x v="3"/>
    <x v="1"/>
    <s v="FC processing"/>
    <x v="1"/>
  </r>
  <r>
    <n v="3"/>
    <x v="0"/>
    <s v="Sunday"/>
    <d v="2025-01-12T00:00:00"/>
    <n v="10"/>
    <x v="64"/>
    <x v="2"/>
    <x v="1"/>
    <s v="Damaged inventory"/>
    <x v="1"/>
  </r>
  <r>
    <n v="3"/>
    <x v="0"/>
    <s v="Sunday"/>
    <d v="2025-01-12T00:00:00"/>
    <n v="11"/>
    <x v="65"/>
    <x v="2"/>
    <x v="1"/>
    <s v="Easyship "/>
    <x v="1"/>
  </r>
  <r>
    <n v="3"/>
    <x v="0"/>
    <s v="Sunday"/>
    <d v="2025-01-12T00:00:00"/>
    <n v="12"/>
    <x v="66"/>
    <x v="2"/>
    <x v="2"/>
    <s v="Payments"/>
    <x v="0"/>
  </r>
  <r>
    <n v="3"/>
    <x v="0"/>
    <s v="Sunday"/>
    <d v="2025-01-12T00:00:00"/>
    <n v="13"/>
    <x v="67"/>
    <x v="2"/>
    <x v="1"/>
    <s v="Reserved inventory"/>
    <x v="1"/>
  </r>
  <r>
    <n v="3"/>
    <x v="0"/>
    <s v="Sunday"/>
    <d v="2025-01-12T00:00:00"/>
    <n v="14"/>
    <x v="63"/>
    <x v="1"/>
    <x v="1"/>
    <s v="FC processing"/>
    <x v="1"/>
  </r>
  <r>
    <n v="3"/>
    <x v="0"/>
    <s v="Sunday"/>
    <d v="2025-01-12T00:00:00"/>
    <n v="15"/>
    <x v="56"/>
    <x v="2"/>
    <x v="0"/>
    <s v="WD"/>
    <x v="1"/>
  </r>
  <r>
    <n v="3"/>
    <x v="0"/>
    <s v="Monday"/>
    <d v="2025-01-13T00:00:00"/>
    <n v="1"/>
    <x v="68"/>
    <x v="2"/>
    <x v="1"/>
    <s v="ASIN remap"/>
    <x v="1"/>
  </r>
  <r>
    <n v="3"/>
    <x v="0"/>
    <s v="Monday"/>
    <d v="2025-01-13T00:00:00"/>
    <n v="2"/>
    <x v="69"/>
    <x v="1"/>
    <x v="0"/>
    <s v="Invoice"/>
    <x v="0"/>
  </r>
  <r>
    <n v="3"/>
    <x v="0"/>
    <s v="Monday"/>
    <d v="2025-01-13T00:00:00"/>
    <n v="3"/>
    <x v="70"/>
    <x v="2"/>
    <x v="0"/>
    <s v="Prohibited items"/>
    <x v="0"/>
  </r>
  <r>
    <n v="3"/>
    <x v="0"/>
    <s v="Monday"/>
    <d v="2025-01-13T00:00:00"/>
    <n v="4"/>
    <x v="71"/>
    <x v="2"/>
    <x v="2"/>
    <s v="BP"/>
    <x v="1"/>
  </r>
  <r>
    <n v="3"/>
    <x v="0"/>
    <s v="Monday"/>
    <d v="2025-01-13T00:00:00"/>
    <n v="5"/>
    <x v="72"/>
    <x v="2"/>
    <x v="2"/>
    <s v="Easyship "/>
    <x v="1"/>
  </r>
  <r>
    <n v="3"/>
    <x v="0"/>
    <s v="Monday"/>
    <d v="2025-01-13T00:00:00"/>
    <n v="6"/>
    <x v="73"/>
    <x v="2"/>
    <x v="0"/>
    <s v="Item Ineligible"/>
    <x v="1"/>
  </r>
  <r>
    <n v="3"/>
    <x v="0"/>
    <s v="Monday"/>
    <d v="2025-01-13T00:00:00"/>
    <n v="7"/>
    <x v="74"/>
    <x v="2"/>
    <x v="0"/>
    <s v="Item Ineligible"/>
    <x v="1"/>
  </r>
  <r>
    <n v="3"/>
    <x v="0"/>
    <s v="Monday"/>
    <d v="2025-01-13T00:00:00"/>
    <n v="8"/>
    <x v="75"/>
    <x v="2"/>
    <x v="2"/>
    <s v="Review"/>
    <x v="1"/>
  </r>
  <r>
    <n v="3"/>
    <x v="0"/>
    <s v="Monday"/>
    <d v="2025-01-13T00:00:00"/>
    <n v="9"/>
    <x v="76"/>
    <x v="3"/>
    <x v="1"/>
    <s v="Open TT"/>
    <x v="1"/>
  </r>
  <r>
    <n v="3"/>
    <x v="0"/>
    <s v="Monday"/>
    <d v="2025-01-13T00:00:00"/>
    <n v="10"/>
    <x v="77"/>
    <x v="2"/>
    <x v="1"/>
    <s v="Lost inventory"/>
    <x v="1"/>
  </r>
  <r>
    <n v="3"/>
    <x v="0"/>
    <s v="Monday"/>
    <d v="2025-01-13T00:00:00"/>
    <n v="11"/>
    <x v="78"/>
    <x v="0"/>
    <x v="2"/>
    <s v="WF auto transfer"/>
    <x v="1"/>
  </r>
  <r>
    <n v="3"/>
    <x v="0"/>
    <s v="Monday"/>
    <d v="2025-01-13T00:00:00"/>
    <n v="12"/>
    <x v="79"/>
    <x v="3"/>
    <x v="1"/>
    <s v="Open TT"/>
    <x v="1"/>
  </r>
  <r>
    <n v="3"/>
    <x v="0"/>
    <s v="Monday"/>
    <d v="2025-01-13T00:00:00"/>
    <n v="13"/>
    <x v="80"/>
    <x v="2"/>
    <x v="1"/>
    <s v="Removal Order"/>
    <x v="1"/>
  </r>
  <r>
    <n v="3"/>
    <x v="0"/>
    <s v="Monday"/>
    <d v="2025-01-13T00:00:00"/>
    <n v="14"/>
    <x v="81"/>
    <x v="2"/>
    <x v="1"/>
    <s v="Receiving"/>
    <x v="1"/>
  </r>
  <r>
    <n v="3"/>
    <x v="0"/>
    <s v="Monday"/>
    <d v="2025-01-13T00:00:00"/>
    <n v="15"/>
    <x v="82"/>
    <x v="2"/>
    <x v="2"/>
    <s v="Featured offer"/>
    <x v="1"/>
  </r>
  <r>
    <n v="3"/>
    <x v="0"/>
    <s v="Monday"/>
    <d v="2025-01-13T00:00:00"/>
    <n v="16"/>
    <x v="83"/>
    <x v="2"/>
    <x v="1"/>
    <s v="Receiving"/>
    <x v="1"/>
  </r>
  <r>
    <n v="3"/>
    <x v="0"/>
    <s v="Monday"/>
    <d v="2025-01-13T00:00:00"/>
    <n v="17"/>
    <x v="84"/>
    <x v="2"/>
    <x v="1"/>
    <s v="Reserved inventory"/>
    <x v="1"/>
  </r>
  <r>
    <n v="3"/>
    <x v="0"/>
    <s v="Monday"/>
    <d v="2025-01-13T00:00:00"/>
    <n v="18"/>
    <x v="85"/>
    <x v="4"/>
    <x v="2"/>
    <s v="Chat disconnected"/>
    <x v="1"/>
  </r>
  <r>
    <n v="3"/>
    <x v="0"/>
    <s v="Monday"/>
    <d v="2025-01-13T00:00:00"/>
    <n v="19"/>
    <x v="86"/>
    <x v="2"/>
    <x v="0"/>
    <s v="Shipment over 6 months"/>
    <x v="1"/>
  </r>
  <r>
    <n v="3"/>
    <x v="0"/>
    <s v="Monday"/>
    <d v="2025-01-13T00:00:00"/>
    <n v="21"/>
    <x v="87"/>
    <x v="2"/>
    <x v="0"/>
    <s v="Stranded inventory"/>
    <x v="1"/>
  </r>
  <r>
    <n v="3"/>
    <x v="0"/>
    <s v="Thursday"/>
    <d v="2025-01-16T00:00:00"/>
    <n v="1"/>
    <x v="88"/>
    <x v="2"/>
    <x v="2"/>
    <s v="Vendor Support"/>
    <x v="1"/>
  </r>
  <r>
    <n v="3"/>
    <x v="0"/>
    <s v="Thursday"/>
    <d v="2025-01-16T00:00:00"/>
    <n v="2"/>
    <x v="89"/>
    <x v="2"/>
    <x v="0"/>
    <s v="Reimbursed"/>
    <x v="1"/>
  </r>
  <r>
    <n v="3"/>
    <x v="0"/>
    <s v="Thursday"/>
    <d v="2025-01-16T00:00:00"/>
    <n v="3"/>
    <x v="90"/>
    <x v="1"/>
    <x v="0"/>
    <s v="More time req"/>
    <x v="1"/>
  </r>
  <r>
    <n v="3"/>
    <x v="0"/>
    <s v="Thursday"/>
    <d v="2025-01-16T00:00:00"/>
    <n v="4"/>
    <x v="91"/>
    <x v="2"/>
    <x v="0"/>
    <s v="Reconciled"/>
    <x v="0"/>
  </r>
  <r>
    <n v="3"/>
    <x v="0"/>
    <s v="Thursday"/>
    <d v="2025-01-16T00:00:00"/>
    <n v="5"/>
    <x v="92"/>
    <x v="2"/>
    <x v="0"/>
    <s v="Merged case"/>
    <x v="1"/>
  </r>
  <r>
    <n v="3"/>
    <x v="0"/>
    <s v="Thursday"/>
    <d v="2025-01-16T00:00:00"/>
    <n v="6"/>
    <x v="93"/>
    <x v="2"/>
    <x v="0"/>
    <s v="Reimbursed"/>
    <x v="1"/>
  </r>
  <r>
    <n v="3"/>
    <x v="0"/>
    <s v="Thursday"/>
    <d v="2025-01-16T00:00:00"/>
    <n v="7"/>
    <x v="94"/>
    <x v="2"/>
    <x v="0"/>
    <s v="Reimbursed"/>
    <x v="1"/>
  </r>
  <r>
    <n v="3"/>
    <x v="0"/>
    <s v="Thursday"/>
    <d v="2025-01-16T00:00:00"/>
    <n v="8"/>
    <x v="95"/>
    <x v="2"/>
    <x v="0"/>
    <s v="Reimbursed"/>
    <x v="1"/>
  </r>
  <r>
    <n v="3"/>
    <x v="0"/>
    <s v="Thursday"/>
    <d v="2025-01-16T00:00:00"/>
    <n v="9"/>
    <x v="96"/>
    <x v="3"/>
    <x v="2"/>
    <s v="Open TT"/>
    <x v="1"/>
  </r>
  <r>
    <n v="3"/>
    <x v="0"/>
    <s v="Thursday"/>
    <d v="2025-01-16T00:00:00"/>
    <n v="10"/>
    <x v="97"/>
    <x v="2"/>
    <x v="1"/>
    <s v="Lost inventory"/>
    <x v="1"/>
  </r>
  <r>
    <n v="3"/>
    <x v="0"/>
    <s v="Thursday"/>
    <d v="2025-01-16T00:00:00"/>
    <n v="11"/>
    <x v="98"/>
    <x v="0"/>
    <x v="1"/>
    <s v="BR support"/>
    <x v="1"/>
  </r>
  <r>
    <n v="3"/>
    <x v="0"/>
    <s v="Thursday"/>
    <d v="2025-01-16T00:00:00"/>
    <n v="12"/>
    <x v="99"/>
    <x v="2"/>
    <x v="2"/>
    <s v="Pricing error"/>
    <x v="1"/>
  </r>
  <r>
    <n v="3"/>
    <x v="0"/>
    <s v="Thursday"/>
    <d v="2025-01-16T00:00:00"/>
    <n v="13"/>
    <x v="100"/>
    <x v="2"/>
    <x v="1"/>
    <s v="Merged case"/>
    <x v="1"/>
  </r>
  <r>
    <n v="3"/>
    <x v="0"/>
    <s v="Thursday"/>
    <d v="2025-01-16T00:00:00"/>
    <n v="14"/>
    <x v="101"/>
    <x v="2"/>
    <x v="0"/>
    <s v="Receiving"/>
    <x v="0"/>
  </r>
  <r>
    <n v="3"/>
    <x v="0"/>
    <s v="Thursday"/>
    <d v="2025-01-16T00:00:00"/>
    <n v="15"/>
    <x v="102"/>
    <x v="2"/>
    <x v="1"/>
    <s v="Customer return"/>
    <x v="1"/>
  </r>
  <r>
    <n v="3"/>
    <x v="0"/>
    <s v="Thursday"/>
    <d v="2025-01-16T00:00:00"/>
    <n v="16"/>
    <x v="103"/>
    <x v="2"/>
    <x v="2"/>
    <s v="E5461"/>
    <x v="1"/>
  </r>
  <r>
    <n v="3"/>
    <x v="0"/>
    <s v="Thursday"/>
    <d v="2025-01-16T00:00:00"/>
    <n v="17"/>
    <x v="104"/>
    <x v="2"/>
    <x v="2"/>
    <s v="Account status"/>
    <x v="1"/>
  </r>
  <r>
    <n v="3"/>
    <x v="0"/>
    <s v="Thursday"/>
    <d v="2025-01-16T00:00:00"/>
    <n v="18"/>
    <x v="105"/>
    <x v="1"/>
    <x v="0"/>
    <s v="POD"/>
    <x v="0"/>
  </r>
  <r>
    <n v="3"/>
    <x v="0"/>
    <s v="Thursday"/>
    <d v="2025-01-16T00:00:00"/>
    <n v="19"/>
    <x v="106"/>
    <x v="2"/>
    <x v="2"/>
    <s v="VTR"/>
    <x v="0"/>
  </r>
  <r>
    <n v="3"/>
    <x v="0"/>
    <s v="Thursday"/>
    <d v="2025-01-16T00:00:00"/>
    <n v="20"/>
    <x v="107"/>
    <x v="2"/>
    <x v="2"/>
    <s v="Product Safety"/>
    <x v="1"/>
  </r>
  <r>
    <n v="3"/>
    <x v="0"/>
    <s v="Thursday"/>
    <d v="2025-01-16T00:00:00"/>
    <n v="21"/>
    <x v="108"/>
    <x v="2"/>
    <x v="2"/>
    <s v="E5886"/>
    <x v="1"/>
  </r>
  <r>
    <n v="3"/>
    <x v="0"/>
    <s v="Thursday"/>
    <d v="2025-01-16T00:00:00"/>
    <n v="22"/>
    <x v="109"/>
    <x v="0"/>
    <x v="2"/>
    <s v="Feeds"/>
    <x v="1"/>
  </r>
  <r>
    <n v="3"/>
    <x v="0"/>
    <s v="Thursday"/>
    <d v="2025-01-16T00:00:00"/>
    <n v="23"/>
    <x v="110"/>
    <x v="2"/>
    <x v="2"/>
    <s v="E5461"/>
    <x v="1"/>
  </r>
  <r>
    <n v="3"/>
    <x v="0"/>
    <s v="Thursday"/>
    <d v="2025-01-16T00:00:00"/>
    <n v="24"/>
    <x v="111"/>
    <x v="2"/>
    <x v="0"/>
    <s v="WD"/>
    <x v="1"/>
  </r>
  <r>
    <n v="3"/>
    <x v="0"/>
    <s v="Thursday"/>
    <d v="2025-01-16T00:00:00"/>
    <n v="25"/>
    <x v="112"/>
    <x v="0"/>
    <x v="2"/>
    <s v="KYC"/>
    <x v="1"/>
  </r>
  <r>
    <n v="3"/>
    <x v="0"/>
    <s v="Friday"/>
    <d v="2025-01-17T00:00:00"/>
    <n v="1"/>
    <x v="113"/>
    <x v="2"/>
    <x v="1"/>
    <s v="Safe-T claim"/>
    <x v="1"/>
  </r>
  <r>
    <n v="3"/>
    <x v="0"/>
    <s v="Friday"/>
    <d v="2025-01-17T00:00:00"/>
    <n v="2"/>
    <x v="114"/>
    <x v="1"/>
    <x v="0"/>
    <s v="More time req"/>
    <x v="1"/>
  </r>
  <r>
    <n v="3"/>
    <x v="0"/>
    <s v="Friday"/>
    <d v="2025-01-17T00:00:00"/>
    <n v="3"/>
    <x v="115"/>
    <x v="2"/>
    <x v="1"/>
    <s v="Lost inventory"/>
    <x v="0"/>
  </r>
  <r>
    <n v="3"/>
    <x v="0"/>
    <s v="Friday"/>
    <d v="2025-01-17T00:00:00"/>
    <n v="4"/>
    <x v="116"/>
    <x v="2"/>
    <x v="1"/>
    <s v="Removal Order"/>
    <x v="1"/>
  </r>
  <r>
    <n v="3"/>
    <x v="0"/>
    <s v="Friday"/>
    <d v="2025-01-17T00:00:00"/>
    <n v="5"/>
    <x v="117"/>
    <x v="3"/>
    <x v="1"/>
    <s v="Open TT"/>
    <x v="1"/>
  </r>
  <r>
    <n v="3"/>
    <x v="0"/>
    <s v="Friday"/>
    <d v="2025-01-17T00:00:00"/>
    <n v="6"/>
    <x v="118"/>
    <x v="0"/>
    <x v="2"/>
    <s v="BR support"/>
    <x v="1"/>
  </r>
  <r>
    <n v="3"/>
    <x v="0"/>
    <s v="Friday"/>
    <d v="2025-01-17T00:00:00"/>
    <n v="7"/>
    <x v="119"/>
    <x v="2"/>
    <x v="1"/>
    <s v="Removal Order"/>
    <x v="0"/>
  </r>
  <r>
    <n v="3"/>
    <x v="0"/>
    <s v="Friday"/>
    <d v="2025-01-17T00:00:00"/>
    <n v="8"/>
    <x v="120"/>
    <x v="2"/>
    <x v="0"/>
    <s v="Reconciled"/>
    <x v="1"/>
  </r>
  <r>
    <n v="3"/>
    <x v="0"/>
    <s v="Friday"/>
    <d v="2025-01-17T00:00:00"/>
    <n v="9"/>
    <x v="121"/>
    <x v="2"/>
    <x v="2"/>
    <s v="Payments"/>
    <x v="1"/>
  </r>
  <r>
    <n v="3"/>
    <x v="0"/>
    <s v="Friday"/>
    <d v="2025-01-17T00:00:00"/>
    <n v="10"/>
    <x v="122"/>
    <x v="1"/>
    <x v="2"/>
    <s v="Order of a different selling account"/>
    <x v="1"/>
  </r>
  <r>
    <n v="3"/>
    <x v="0"/>
    <s v="Friday"/>
    <d v="2025-01-17T00:00:00"/>
    <n v="11"/>
    <x v="123"/>
    <x v="2"/>
    <x v="1"/>
    <s v="Amazon partnered carrier RMS req"/>
    <x v="1"/>
  </r>
  <r>
    <n v="3"/>
    <x v="0"/>
    <s v="Friday"/>
    <d v="2025-01-17T00:00:00"/>
    <n v="12"/>
    <x v="124"/>
    <x v="1"/>
    <x v="2"/>
    <s v="Unable to create a listing"/>
    <x v="1"/>
  </r>
  <r>
    <n v="3"/>
    <x v="0"/>
    <s v="Friday"/>
    <d v="2025-01-17T00:00:00"/>
    <n v="13"/>
    <x v="125"/>
    <x v="2"/>
    <x v="1"/>
    <s v="Removal Order"/>
    <x v="1"/>
  </r>
  <r>
    <n v="3"/>
    <x v="0"/>
    <s v="Friday"/>
    <d v="2025-01-17T00:00:00"/>
    <n v="14"/>
    <x v="126"/>
    <x v="2"/>
    <x v="0"/>
    <s v="Item Ineligible"/>
    <x v="1"/>
  </r>
  <r>
    <n v="3"/>
    <x v="0"/>
    <s v="Friday"/>
    <d v="2025-01-17T00:00:00"/>
    <n v="15"/>
    <x v="127"/>
    <x v="2"/>
    <x v="2"/>
    <s v="Featured offer"/>
    <x v="1"/>
  </r>
  <r>
    <n v="3"/>
    <x v="0"/>
    <s v="Friday"/>
    <d v="2025-01-17T00:00:00"/>
    <n v="16"/>
    <x v="128"/>
    <x v="2"/>
    <x v="0"/>
    <s v="Reimbursed"/>
    <x v="1"/>
  </r>
  <r>
    <n v="3"/>
    <x v="0"/>
    <s v="Friday"/>
    <d v="2025-01-17T00:00:00"/>
    <n v="17"/>
    <x v="129"/>
    <x v="1"/>
    <x v="0"/>
    <s v="BOL"/>
    <x v="1"/>
  </r>
  <r>
    <n v="3"/>
    <x v="0"/>
    <s v="Friday"/>
    <d v="2025-01-17T00:00:00"/>
    <n v="18"/>
    <x v="130"/>
    <x v="3"/>
    <x v="2"/>
    <s v="Open TT"/>
    <x v="1"/>
  </r>
  <r>
    <n v="3"/>
    <x v="0"/>
    <s v="Friday"/>
    <d v="2025-01-17T00:00:00"/>
    <n v="19"/>
    <x v="131"/>
    <x v="2"/>
    <x v="0"/>
    <s v="Contents tab"/>
    <x v="1"/>
  </r>
  <r>
    <n v="3"/>
    <x v="0"/>
    <s v="Friday"/>
    <d v="2025-01-17T00:00:00"/>
    <n v="20"/>
    <x v="132"/>
    <x v="2"/>
    <x v="1"/>
    <s v="Removal Order"/>
    <x v="1"/>
  </r>
  <r>
    <n v="3"/>
    <x v="0"/>
    <s v="Friday"/>
    <d v="2025-01-17T00:00:00"/>
    <n v="21"/>
    <x v="133"/>
    <x v="3"/>
    <x v="0"/>
    <s v="Open TT"/>
    <x v="1"/>
  </r>
  <r>
    <n v="3"/>
    <x v="0"/>
    <s v="Friday"/>
    <d v="2025-01-17T00:00:00"/>
    <n v="22"/>
    <x v="134"/>
    <x v="3"/>
    <x v="2"/>
    <s v="Open TT"/>
    <x v="1"/>
  </r>
  <r>
    <n v="3"/>
    <x v="0"/>
    <s v="Friday"/>
    <d v="2025-01-17T00:00:00"/>
    <n v="23"/>
    <x v="135"/>
    <x v="2"/>
    <x v="2"/>
    <s v="Featured offer"/>
    <x v="0"/>
  </r>
  <r>
    <n v="3"/>
    <x v="0"/>
    <s v="Friday"/>
    <d v="2025-01-17T00:00:00"/>
    <n v="24"/>
    <x v="136"/>
    <x v="2"/>
    <x v="1"/>
    <s v="Lost inventory"/>
    <x v="0"/>
  </r>
  <r>
    <n v="3"/>
    <x v="0"/>
    <s v="Saturday"/>
    <d v="2025-01-18T00:00:00"/>
    <n v="1"/>
    <x v="137"/>
    <x v="3"/>
    <x v="0"/>
    <s v="Open TT"/>
    <x v="1"/>
  </r>
  <r>
    <n v="3"/>
    <x v="0"/>
    <s v="Saturday"/>
    <d v="2025-01-18T00:00:00"/>
    <n v="2"/>
    <x v="138"/>
    <x v="2"/>
    <x v="0"/>
    <s v="Reimbursed"/>
    <x v="1"/>
  </r>
  <r>
    <n v="3"/>
    <x v="0"/>
    <s v="Saturday"/>
    <d v="2025-01-18T00:00:00"/>
    <n v="3"/>
    <x v="139"/>
    <x v="1"/>
    <x v="0"/>
    <s v="BOL"/>
    <x v="0"/>
  </r>
  <r>
    <n v="3"/>
    <x v="0"/>
    <s v="Saturday"/>
    <d v="2025-01-18T00:00:00"/>
    <n v="4"/>
    <x v="140"/>
    <x v="2"/>
    <x v="0"/>
    <s v="Reimbursed"/>
    <x v="0"/>
  </r>
  <r>
    <n v="3"/>
    <x v="0"/>
    <s v="Saturday"/>
    <d v="2025-01-18T00:00:00"/>
    <n v="5"/>
    <x v="141"/>
    <x v="2"/>
    <x v="1"/>
    <s v="Orders"/>
    <x v="1"/>
  </r>
  <r>
    <n v="3"/>
    <x v="0"/>
    <s v="Saturday"/>
    <d v="2025-01-18T00:00:00"/>
    <n v="6"/>
    <x v="142"/>
    <x v="2"/>
    <x v="0"/>
    <s v="WD"/>
    <x v="1"/>
  </r>
  <r>
    <n v="3"/>
    <x v="0"/>
    <s v="Saturday"/>
    <d v="2025-01-18T00:00:00"/>
    <n v="7"/>
    <x v="143"/>
    <x v="2"/>
    <x v="1"/>
    <s v="Stranded inventory"/>
    <x v="0"/>
  </r>
  <r>
    <n v="3"/>
    <x v="0"/>
    <s v="Saturday"/>
    <d v="2025-01-18T00:00:00"/>
    <n v="8"/>
    <x v="144"/>
    <x v="3"/>
    <x v="1"/>
    <s v="Contacted carrier // Follow up required"/>
    <x v="1"/>
  </r>
  <r>
    <n v="3"/>
    <x v="0"/>
    <s v="Saturday"/>
    <d v="2025-01-18T00:00:00"/>
    <n v="9"/>
    <x v="145"/>
    <x v="2"/>
    <x v="1"/>
    <s v="Lost inventory"/>
    <x v="1"/>
  </r>
  <r>
    <n v="3"/>
    <x v="0"/>
    <s v="Saturday"/>
    <d v="2025-01-18T00:00:00"/>
    <n v="10"/>
    <x v="146"/>
    <x v="3"/>
    <x v="1"/>
    <s v="Open TT"/>
    <x v="1"/>
  </r>
  <r>
    <n v="3"/>
    <x v="0"/>
    <s v="Saturday"/>
    <d v="2025-01-18T00:00:00"/>
    <n v="11"/>
    <x v="147"/>
    <x v="2"/>
    <x v="1"/>
    <s v="Lost inventory"/>
    <x v="1"/>
  </r>
  <r>
    <n v="3"/>
    <x v="0"/>
    <s v="Saturday"/>
    <d v="2025-01-18T00:00:00"/>
    <n v="12"/>
    <x v="148"/>
    <x v="2"/>
    <x v="0"/>
    <s v="Reconciled"/>
    <x v="1"/>
  </r>
  <r>
    <n v="3"/>
    <x v="0"/>
    <s v="Saturday"/>
    <d v="2025-01-18T00:00:00"/>
    <n v="13"/>
    <x v="149"/>
    <x v="2"/>
    <x v="1"/>
    <s v="Removal Order"/>
    <x v="1"/>
  </r>
  <r>
    <n v="3"/>
    <x v="0"/>
    <s v="Saturday"/>
    <d v="2025-01-18T00:00:00"/>
    <n v="14"/>
    <x v="150"/>
    <x v="1"/>
    <x v="2"/>
    <s v="Product type"/>
    <x v="1"/>
  </r>
  <r>
    <n v="3"/>
    <x v="0"/>
    <s v="Saturday"/>
    <d v="2025-01-18T00:00:00"/>
    <n v="15"/>
    <x v="151"/>
    <x v="3"/>
    <x v="1"/>
    <s v="Open TT"/>
    <x v="1"/>
  </r>
  <r>
    <n v="3"/>
    <x v="0"/>
    <s v="Saturday"/>
    <d v="2025-01-18T00:00:00"/>
    <n v="16"/>
    <x v="152"/>
    <x v="2"/>
    <x v="1"/>
    <s v="Removal Order"/>
    <x v="1"/>
  </r>
  <r>
    <n v="3"/>
    <x v="0"/>
    <s v="Saturday"/>
    <d v="2025-01-18T00:00:00"/>
    <n v="17"/>
    <x v="153"/>
    <x v="2"/>
    <x v="1"/>
    <s v="Removal Order"/>
    <x v="1"/>
  </r>
  <r>
    <n v="3"/>
    <x v="0"/>
    <s v="Saturday"/>
    <d v="2025-01-18T00:00:00"/>
    <n v="18"/>
    <x v="154"/>
    <x v="2"/>
    <x v="2"/>
    <s v="Approval button"/>
    <x v="0"/>
  </r>
  <r>
    <n v="3"/>
    <x v="0"/>
    <s v="Saturday"/>
    <d v="2025-01-18T00:00:00"/>
    <n v="19"/>
    <x v="155"/>
    <x v="0"/>
    <x v="2"/>
    <s v="FBA"/>
    <x v="1"/>
  </r>
  <r>
    <n v="3"/>
    <x v="0"/>
    <s v="Saturday"/>
    <d v="2025-01-18T00:00:00"/>
    <n v="20"/>
    <x v="156"/>
    <x v="1"/>
    <x v="0"/>
    <s v="Invoice"/>
    <x v="1"/>
  </r>
  <r>
    <n v="3"/>
    <x v="0"/>
    <s v="Saturday"/>
    <d v="2025-01-18T00:00:00"/>
    <n v="21"/>
    <x v="157"/>
    <x v="3"/>
    <x v="1"/>
    <s v="Reserved inventory"/>
    <x v="0"/>
  </r>
  <r>
    <n v="3"/>
    <x v="0"/>
    <s v="Saturday"/>
    <d v="2025-01-18T00:00:00"/>
    <n v="22"/>
    <x v="158"/>
    <x v="2"/>
    <x v="1"/>
    <s v="Removal Order"/>
    <x v="1"/>
  </r>
  <r>
    <n v="3"/>
    <x v="0"/>
    <s v="Saturday"/>
    <d v="2025-01-18T00:00:00"/>
    <n v="23"/>
    <x v="159"/>
    <x v="1"/>
    <x v="2"/>
    <s v="E5885"/>
    <x v="1"/>
  </r>
  <r>
    <n v="4"/>
    <x v="0"/>
    <s v="Tuesday"/>
    <d v="2025-01-21T00:00:00"/>
    <n v="1"/>
    <x v="160"/>
    <x v="1"/>
    <x v="0"/>
    <s v="Req info"/>
    <x v="1"/>
  </r>
  <r>
    <n v="4"/>
    <x v="0"/>
    <s v="Tuesday"/>
    <d v="2025-01-21T00:00:00"/>
    <n v="2"/>
    <x v="161"/>
    <x v="3"/>
    <x v="1"/>
    <s v="Open TT"/>
    <x v="1"/>
  </r>
  <r>
    <n v="4"/>
    <x v="0"/>
    <s v="Tuesday"/>
    <d v="2025-01-21T00:00:00"/>
    <n v="3"/>
    <x v="162"/>
    <x v="2"/>
    <x v="1"/>
    <s v="Lost inventory"/>
    <x v="1"/>
  </r>
  <r>
    <n v="4"/>
    <x v="0"/>
    <s v="Tuesday"/>
    <d v="2025-01-21T00:00:00"/>
    <n v="4"/>
    <x v="163"/>
    <x v="2"/>
    <x v="0"/>
    <s v="Reconciled"/>
    <x v="1"/>
  </r>
  <r>
    <n v="4"/>
    <x v="0"/>
    <s v="Tuesday"/>
    <d v="2025-01-21T00:00:00"/>
    <n v="5"/>
    <x v="164"/>
    <x v="2"/>
    <x v="1"/>
    <s v="Lost inventory"/>
    <x v="0"/>
  </r>
  <r>
    <n v="4"/>
    <x v="0"/>
    <s v="Tuesday"/>
    <d v="2025-01-21T00:00:00"/>
    <n v="6"/>
    <x v="165"/>
    <x v="2"/>
    <x v="1"/>
    <s v="Removal Order"/>
    <x v="1"/>
  </r>
  <r>
    <n v="4"/>
    <x v="0"/>
    <s v="Tuesday"/>
    <d v="2025-01-21T00:00:00"/>
    <n v="7"/>
    <x v="166"/>
    <x v="2"/>
    <x v="1"/>
    <s v="Removal Order"/>
    <x v="1"/>
  </r>
  <r>
    <n v="4"/>
    <x v="0"/>
    <s v="Tuesday"/>
    <d v="2025-01-21T00:00:00"/>
    <n v="8"/>
    <x v="167"/>
    <x v="2"/>
    <x v="0"/>
    <s v="Contents tab"/>
    <x v="0"/>
  </r>
  <r>
    <n v="4"/>
    <x v="0"/>
    <s v="Tuesday"/>
    <d v="2025-01-21T00:00:00"/>
    <n v="9"/>
    <x v="168"/>
    <x v="2"/>
    <x v="0"/>
    <s v="Contents tab"/>
    <x v="0"/>
  </r>
  <r>
    <n v="4"/>
    <x v="0"/>
    <s v="Tuesday"/>
    <d v="2025-01-21T00:00:00"/>
    <n v="10"/>
    <x v="169"/>
    <x v="2"/>
    <x v="1"/>
    <s v="Lost inventory"/>
    <x v="0"/>
  </r>
  <r>
    <n v="4"/>
    <x v="0"/>
    <s v="Tuesday"/>
    <d v="2025-01-21T00:00:00"/>
    <n v="11"/>
    <x v="170"/>
    <x v="2"/>
    <x v="1"/>
    <s v="Orders"/>
    <x v="1"/>
  </r>
  <r>
    <n v="4"/>
    <x v="0"/>
    <s v="Tuesday"/>
    <d v="2025-01-21T00:00:00"/>
    <n v="12"/>
    <x v="171"/>
    <x v="1"/>
    <x v="1"/>
    <s v="Removal Order"/>
    <x v="1"/>
  </r>
  <r>
    <n v="4"/>
    <x v="0"/>
    <s v="Tuesday"/>
    <d v="2025-01-21T00:00:00"/>
    <n v="13"/>
    <x v="172"/>
    <x v="2"/>
    <x v="1"/>
    <s v="Delivered shipment"/>
    <x v="1"/>
  </r>
  <r>
    <n v="4"/>
    <x v="0"/>
    <s v="Tuesday"/>
    <d v="2025-01-21T00:00:00"/>
    <n v="14"/>
    <x v="173"/>
    <x v="1"/>
    <x v="0"/>
    <s v="SP says there is still 139 units missing"/>
    <x v="1"/>
  </r>
  <r>
    <n v="4"/>
    <x v="0"/>
    <s v="Tuesday"/>
    <d v="2025-01-21T00:00:00"/>
    <n v="15"/>
    <x v="171"/>
    <x v="1"/>
    <x v="1"/>
    <s v="Removal Order"/>
    <x v="1"/>
  </r>
  <r>
    <n v="4"/>
    <x v="0"/>
    <s v="Tuesday"/>
    <d v="2025-01-21T00:00:00"/>
    <n v="16"/>
    <x v="174"/>
    <x v="2"/>
    <x v="2"/>
    <s v="Product compliance"/>
    <x v="1"/>
  </r>
  <r>
    <n v="4"/>
    <x v="0"/>
    <s v="Tuesday"/>
    <d v="2025-01-21T00:00:00"/>
    <n v="17"/>
    <x v="175"/>
    <x v="0"/>
    <x v="0"/>
    <s v="HV"/>
    <x v="1"/>
  </r>
  <r>
    <n v="4"/>
    <x v="0"/>
    <s v="Tuesday"/>
    <d v="2025-01-21T00:00:00"/>
    <n v="18"/>
    <x v="176"/>
    <x v="0"/>
    <x v="0"/>
    <s v="SA"/>
    <x v="1"/>
  </r>
  <r>
    <n v="4"/>
    <x v="0"/>
    <s v="Tuesday"/>
    <d v="2025-01-21T00:00:00"/>
    <n v="19"/>
    <x v="177"/>
    <x v="2"/>
    <x v="0"/>
    <s v="HV"/>
    <x v="1"/>
  </r>
  <r>
    <n v="4"/>
    <x v="0"/>
    <s v="Tuesday"/>
    <d v="2025-01-21T00:00:00"/>
    <n v="20"/>
    <x v="178"/>
    <x v="1"/>
    <x v="0"/>
    <s v="Invoice"/>
    <x v="1"/>
  </r>
  <r>
    <n v="4"/>
    <x v="0"/>
    <s v="Tuesday"/>
    <d v="2025-01-21T00:00:00"/>
    <n v="21"/>
    <x v="179"/>
    <x v="2"/>
    <x v="1"/>
    <s v="Removal Order"/>
    <x v="0"/>
  </r>
  <r>
    <n v="4"/>
    <x v="0"/>
    <s v="Tuesday"/>
    <d v="2025-01-21T00:00:00"/>
    <n v="22"/>
    <x v="180"/>
    <x v="0"/>
    <x v="0"/>
    <s v="HV"/>
    <x v="1"/>
  </r>
  <r>
    <n v="4"/>
    <x v="0"/>
    <s v="Tuesday"/>
    <d v="2025-01-21T00:00:00"/>
    <n v="23"/>
    <x v="181"/>
    <x v="3"/>
    <x v="1"/>
    <s v="Open TT"/>
    <x v="1"/>
  </r>
  <r>
    <n v="4"/>
    <x v="0"/>
    <s v="Tuesday"/>
    <d v="2025-01-21T00:00:00"/>
    <n v="24"/>
    <x v="182"/>
    <x v="2"/>
    <x v="1"/>
    <s v="Removal Order"/>
    <x v="0"/>
  </r>
  <r>
    <n v="4"/>
    <x v="0"/>
    <s v="Tuesday"/>
    <d v="2025-01-21T00:00:00"/>
    <n v="25"/>
    <x v="183"/>
    <x v="2"/>
    <x v="0"/>
    <s v="Reconciled"/>
    <x v="1"/>
  </r>
  <r>
    <n v="4"/>
    <x v="0"/>
    <s v="Tuesday"/>
    <d v="2025-01-21T00:00:00"/>
    <n v="26"/>
    <x v="184"/>
    <x v="1"/>
    <x v="0"/>
    <s v="POD"/>
    <x v="1"/>
  </r>
  <r>
    <n v="4"/>
    <x v="0"/>
    <s v="Tuesday"/>
    <d v="2025-01-21T00:00:00"/>
    <n v="27"/>
    <x v="185"/>
    <x v="2"/>
    <x v="2"/>
    <s v="Chat disconnected"/>
    <x v="1"/>
  </r>
  <r>
    <n v="4"/>
    <x v="0"/>
    <s v="Wednesday"/>
    <d v="2025-01-22T00:00:00"/>
    <n v="1"/>
    <x v="186"/>
    <x v="2"/>
    <x v="1"/>
    <s v="Stranded inventory"/>
    <x v="1"/>
  </r>
  <r>
    <n v="4"/>
    <x v="0"/>
    <s v="Wednesday"/>
    <d v="2025-01-22T00:00:00"/>
    <n v="2"/>
    <x v="187"/>
    <x v="2"/>
    <x v="1"/>
    <s v="Reserved inventory"/>
    <x v="1"/>
  </r>
  <r>
    <n v="4"/>
    <x v="0"/>
    <s v="Wednesday"/>
    <d v="2025-01-22T00:00:00"/>
    <n v="3"/>
    <x v="188"/>
    <x v="2"/>
    <x v="0"/>
    <s v="Item Ineligible"/>
    <x v="1"/>
  </r>
  <r>
    <n v="4"/>
    <x v="0"/>
    <s v="Wednesday"/>
    <d v="2025-01-22T00:00:00"/>
    <n v="4"/>
    <x v="189"/>
    <x v="2"/>
    <x v="0"/>
    <s v="Merged case"/>
    <x v="0"/>
  </r>
  <r>
    <n v="4"/>
    <x v="0"/>
    <s v="Wednesday"/>
    <d v="2025-01-22T00:00:00"/>
    <n v="5"/>
    <x v="190"/>
    <x v="3"/>
    <x v="1"/>
    <s v="Order not picked up"/>
    <x v="1"/>
  </r>
  <r>
    <n v="4"/>
    <x v="0"/>
    <s v="Wednesday"/>
    <d v="2025-01-22T00:00:00"/>
    <n v="6"/>
    <x v="191"/>
    <x v="2"/>
    <x v="1"/>
    <s v="Order fee"/>
    <x v="1"/>
  </r>
  <r>
    <n v="4"/>
    <x v="0"/>
    <s v="Wednesday"/>
    <d v="2025-01-22T00:00:00"/>
    <n v="7"/>
    <x v="192"/>
    <x v="0"/>
    <x v="0"/>
    <s v="HV"/>
    <x v="1"/>
  </r>
  <r>
    <n v="4"/>
    <x v="0"/>
    <s v="Wednesday"/>
    <d v="2025-01-22T00:00:00"/>
    <n v="8"/>
    <x v="193"/>
    <x v="2"/>
    <x v="2"/>
    <s v="Approval button"/>
    <x v="1"/>
  </r>
  <r>
    <n v="4"/>
    <x v="0"/>
    <s v="Wednesday"/>
    <d v="2025-01-22T00:00:00"/>
    <n v="9"/>
    <x v="194"/>
    <x v="2"/>
    <x v="0"/>
    <s v="Reimbursed"/>
    <x v="0"/>
  </r>
  <r>
    <n v="4"/>
    <x v="0"/>
    <s v="Wednesday"/>
    <d v="2025-01-22T00:00:00"/>
    <n v="10"/>
    <x v="195"/>
    <x v="2"/>
    <x v="0"/>
    <s v="Contents tab"/>
    <x v="1"/>
  </r>
  <r>
    <n v="4"/>
    <x v="0"/>
    <s v="Wednesday"/>
    <d v="2025-01-22T00:00:00"/>
    <n v="11"/>
    <x v="196"/>
    <x v="2"/>
    <x v="2"/>
    <s v="E5461"/>
    <x v="1"/>
  </r>
  <r>
    <n v="4"/>
    <x v="0"/>
    <s v="Wednesday"/>
    <d v="2025-01-22T00:00:00"/>
    <n v="12"/>
    <x v="197"/>
    <x v="2"/>
    <x v="1"/>
    <s v="Create shipment"/>
    <x v="0"/>
  </r>
  <r>
    <n v="4"/>
    <x v="0"/>
    <s v="Wednesday"/>
    <d v="2025-01-22T00:00:00"/>
    <n v="13"/>
    <x v="198"/>
    <x v="3"/>
    <x v="1"/>
    <s v="Open TT"/>
    <x v="1"/>
  </r>
  <r>
    <n v="4"/>
    <x v="0"/>
    <s v="Wednesday"/>
    <d v="2025-01-22T00:00:00"/>
    <n v="14"/>
    <x v="199"/>
    <x v="2"/>
    <x v="0"/>
    <s v="Item Ineligible"/>
    <x v="1"/>
  </r>
  <r>
    <n v="4"/>
    <x v="0"/>
    <s v="Wednesday"/>
    <d v="2025-01-22T00:00:00"/>
    <n v="15"/>
    <x v="200"/>
    <x v="1"/>
    <x v="0"/>
    <s v="Req info"/>
    <x v="0"/>
  </r>
  <r>
    <n v="4"/>
    <x v="0"/>
    <s v="Wednesday"/>
    <d v="2025-01-22T00:00:00"/>
    <n v="16"/>
    <x v="201"/>
    <x v="0"/>
    <x v="2"/>
    <s v="BR support"/>
    <x v="1"/>
  </r>
  <r>
    <n v="4"/>
    <x v="0"/>
    <s v="Wednesday"/>
    <d v="2025-01-22T00:00:00"/>
    <n v="17"/>
    <x v="202"/>
    <x v="3"/>
    <x v="1"/>
    <s v="Open TT"/>
    <x v="1"/>
  </r>
  <r>
    <n v="4"/>
    <x v="0"/>
    <s v="Wednesday"/>
    <d v="2025-01-22T00:00:00"/>
    <n v="18"/>
    <x v="203"/>
    <x v="2"/>
    <x v="2"/>
    <s v="User permission"/>
    <x v="1"/>
  </r>
  <r>
    <n v="4"/>
    <x v="0"/>
    <s v="Wednesday"/>
    <d v="2025-01-22T00:00:00"/>
    <n v="19"/>
    <x v="204"/>
    <x v="2"/>
    <x v="1"/>
    <s v="Non returnable ASIN"/>
    <x v="0"/>
  </r>
  <r>
    <n v="4"/>
    <x v="0"/>
    <s v="Wednesday"/>
    <d v="2025-01-22T00:00:00"/>
    <n v="20"/>
    <x v="129"/>
    <x v="1"/>
    <x v="0"/>
    <s v="BOL"/>
    <x v="1"/>
  </r>
  <r>
    <n v="4"/>
    <x v="0"/>
    <s v="Wednesday"/>
    <d v="2025-01-22T00:00:00"/>
    <n v="21"/>
    <x v="205"/>
    <x v="2"/>
    <x v="1"/>
    <s v="Inactive listing"/>
    <x v="1"/>
  </r>
  <r>
    <n v="4"/>
    <x v="0"/>
    <s v="Wednesday"/>
    <d v="2025-01-22T00:00:00"/>
    <n v="22"/>
    <x v="206"/>
    <x v="3"/>
    <x v="0"/>
    <s v="Contacted carrier // Follow up required"/>
    <x v="1"/>
  </r>
  <r>
    <n v="4"/>
    <x v="0"/>
    <s v="Wednesday"/>
    <d v="2025-01-22T00:00:00"/>
    <n v="23"/>
    <x v="207"/>
    <x v="0"/>
    <x v="0"/>
    <s v="HV"/>
    <x v="0"/>
  </r>
  <r>
    <n v="4"/>
    <x v="0"/>
    <s v="Wednesday"/>
    <d v="2025-01-22T00:00:00"/>
    <n v="24"/>
    <x v="208"/>
    <x v="3"/>
    <x v="0"/>
    <s v="Contacted carrier // Follow up required"/>
    <x v="1"/>
  </r>
  <r>
    <n v="4"/>
    <x v="0"/>
    <s v="Wednesday"/>
    <d v="2025-01-22T00:00:00"/>
    <n v="25"/>
    <x v="209"/>
    <x v="3"/>
    <x v="1"/>
    <s v="TT cut for tool access"/>
    <x v="0"/>
  </r>
  <r>
    <n v="4"/>
    <x v="0"/>
    <s v="Thursday"/>
    <d v="2025-01-23T00:00:00"/>
    <n v="1"/>
    <x v="210"/>
    <x v="3"/>
    <x v="0"/>
    <s v="Open TT"/>
    <x v="1"/>
  </r>
  <r>
    <n v="4"/>
    <x v="0"/>
    <s v="Thursday"/>
    <d v="2025-01-23T00:00:00"/>
    <n v="2"/>
    <x v="211"/>
    <x v="2"/>
    <x v="0"/>
    <s v="Reimbursed"/>
    <x v="1"/>
  </r>
  <r>
    <n v="4"/>
    <x v="0"/>
    <s v="Thursday"/>
    <d v="2025-01-23T00:00:00"/>
    <n v="3"/>
    <x v="212"/>
    <x v="0"/>
    <x v="2"/>
    <s v="swa-shipper"/>
    <x v="0"/>
  </r>
  <r>
    <n v="4"/>
    <x v="0"/>
    <s v="Thursday"/>
    <d v="2025-01-23T00:00:00"/>
    <n v="4"/>
    <x v="213"/>
    <x v="2"/>
    <x v="1"/>
    <s v="Stranded inventory"/>
    <x v="1"/>
  </r>
  <r>
    <n v="4"/>
    <x v="0"/>
    <s v="Thursday"/>
    <d v="2025-01-23T00:00:00"/>
    <n v="5"/>
    <x v="214"/>
    <x v="0"/>
    <x v="0"/>
    <s v="HV"/>
    <x v="1"/>
  </r>
  <r>
    <n v="4"/>
    <x v="0"/>
    <s v="Thursday"/>
    <d v="2025-01-23T00:00:00"/>
    <n v="6"/>
    <x v="215"/>
    <x v="3"/>
    <x v="1"/>
    <s v="Open TT"/>
    <x v="1"/>
  </r>
  <r>
    <n v="4"/>
    <x v="0"/>
    <s v="Thursday"/>
    <d v="2025-01-23T00:00:00"/>
    <n v="7"/>
    <x v="216"/>
    <x v="2"/>
    <x v="1"/>
    <s v="Lost inventory"/>
    <x v="1"/>
  </r>
  <r>
    <n v="4"/>
    <x v="0"/>
    <s v="Thursday"/>
    <d v="2025-01-23T00:00:00"/>
    <n v="8"/>
    <x v="217"/>
    <x v="2"/>
    <x v="1"/>
    <s v="Lost inventory"/>
    <x v="1"/>
  </r>
  <r>
    <n v="4"/>
    <x v="0"/>
    <s v="Thursday"/>
    <d v="2025-01-23T00:00:00"/>
    <n v="9"/>
    <x v="218"/>
    <x v="2"/>
    <x v="1"/>
    <s v="Lost inventory"/>
    <x v="1"/>
  </r>
  <r>
    <n v="4"/>
    <x v="0"/>
    <s v="Thursday"/>
    <d v="2025-01-23T00:00:00"/>
    <n v="10"/>
    <x v="219"/>
    <x v="2"/>
    <x v="2"/>
    <s v="Chat disconnected"/>
    <x v="1"/>
  </r>
  <r>
    <n v="4"/>
    <x v="0"/>
    <s v="Thursday"/>
    <d v="2025-01-23T00:00:00"/>
    <n v="11"/>
    <x v="220"/>
    <x v="2"/>
    <x v="2"/>
    <s v="Featured offer"/>
    <x v="1"/>
  </r>
  <r>
    <n v="4"/>
    <x v="0"/>
    <s v="Thursday"/>
    <d v="2025-01-23T00:00:00"/>
    <n v="12"/>
    <x v="208"/>
    <x v="2"/>
    <x v="1"/>
    <s v="POD"/>
    <x v="1"/>
  </r>
  <r>
    <n v="4"/>
    <x v="0"/>
    <s v="Thursday"/>
    <d v="2025-01-23T00:00:00"/>
    <n v="13"/>
    <x v="206"/>
    <x v="2"/>
    <x v="1"/>
    <s v="POD"/>
    <x v="1"/>
  </r>
  <r>
    <n v="4"/>
    <x v="0"/>
    <s v="Thursday"/>
    <d v="2025-01-23T00:00:00"/>
    <n v="14"/>
    <x v="221"/>
    <x v="2"/>
    <x v="0"/>
    <s v="Reimbursed"/>
    <x v="1"/>
  </r>
  <r>
    <n v="4"/>
    <x v="0"/>
    <s v="Thursday"/>
    <d v="2025-01-23T00:00:00"/>
    <n v="15"/>
    <x v="76"/>
    <x v="3"/>
    <x v="1"/>
    <s v="Open TT"/>
    <x v="1"/>
  </r>
  <r>
    <n v="4"/>
    <x v="0"/>
    <s v="Thursday"/>
    <d v="2025-01-23T00:00:00"/>
    <n v="16"/>
    <x v="222"/>
    <x v="0"/>
    <x v="0"/>
    <s v="HV"/>
    <x v="1"/>
  </r>
  <r>
    <n v="4"/>
    <x v="0"/>
    <s v="Thursday"/>
    <d v="2025-01-23T00:00:00"/>
    <n v="17"/>
    <x v="223"/>
    <x v="2"/>
    <x v="1"/>
    <s v="Distributor Damaged"/>
    <x v="1"/>
  </r>
  <r>
    <n v="4"/>
    <x v="0"/>
    <s v="Thursday"/>
    <d v="2025-01-23T00:00:00"/>
    <n v="18"/>
    <x v="224"/>
    <x v="2"/>
    <x v="2"/>
    <s v="Approval button"/>
    <x v="0"/>
  </r>
  <r>
    <n v="4"/>
    <x v="0"/>
    <s v="Thursday"/>
    <d v="2025-01-23T00:00:00"/>
    <n v="19"/>
    <x v="225"/>
    <x v="2"/>
    <x v="2"/>
    <s v="Pricing error"/>
    <x v="0"/>
  </r>
  <r>
    <n v="4"/>
    <x v="0"/>
    <s v="Thursday"/>
    <d v="2025-01-23T00:00:00"/>
    <n v="20"/>
    <x v="226"/>
    <x v="0"/>
    <x v="2"/>
    <s v="BR support"/>
    <x v="1"/>
  </r>
  <r>
    <n v="4"/>
    <x v="0"/>
    <s v="Thursday"/>
    <d v="2025-01-23T00:00:00"/>
    <n v="21"/>
    <x v="227"/>
    <x v="2"/>
    <x v="1"/>
    <s v="Order"/>
    <x v="1"/>
  </r>
  <r>
    <n v="4"/>
    <x v="0"/>
    <s v="Thursday"/>
    <d v="2025-01-23T00:00:00"/>
    <n v="22"/>
    <x v="213"/>
    <x v="2"/>
    <x v="1"/>
    <s v="Stranded inventory"/>
    <x v="1"/>
  </r>
  <r>
    <n v="4"/>
    <x v="0"/>
    <s v="Thursday"/>
    <d v="2025-01-23T00:00:00"/>
    <n v="23"/>
    <x v="215"/>
    <x v="2"/>
    <x v="1"/>
    <s v="Easyship "/>
    <x v="1"/>
  </r>
  <r>
    <n v="4"/>
    <x v="0"/>
    <s v="Thursday"/>
    <d v="2025-01-23T00:00:00"/>
    <n v="24"/>
    <x v="228"/>
    <x v="0"/>
    <x v="2"/>
    <s v="SA"/>
    <x v="1"/>
  </r>
  <r>
    <n v="4"/>
    <x v="0"/>
    <s v="Thursday"/>
    <d v="2025-01-23T00:00:00"/>
    <n v="25"/>
    <x v="229"/>
    <x v="2"/>
    <x v="2"/>
    <s v="Listing merge"/>
    <x v="1"/>
  </r>
  <r>
    <n v="4"/>
    <x v="0"/>
    <s v="Friday"/>
    <d v="2025-01-24T00:00:00"/>
    <n v="1"/>
    <x v="230"/>
    <x v="2"/>
    <x v="0"/>
    <s v="Item Ineligible"/>
    <x v="1"/>
  </r>
  <r>
    <n v="4"/>
    <x v="0"/>
    <s v="Friday"/>
    <d v="2025-01-24T00:00:00"/>
    <n v="2"/>
    <x v="231"/>
    <x v="0"/>
    <x v="0"/>
    <s v="CN"/>
    <x v="1"/>
  </r>
  <r>
    <n v="4"/>
    <x v="0"/>
    <s v="Friday"/>
    <d v="2025-01-24T00:00:00"/>
    <n v="3"/>
    <x v="232"/>
    <x v="2"/>
    <x v="2"/>
    <s v="Easyship "/>
    <x v="0"/>
  </r>
  <r>
    <n v="4"/>
    <x v="0"/>
    <s v="Friday"/>
    <d v="2025-01-24T00:00:00"/>
    <n v="4"/>
    <x v="233"/>
    <x v="1"/>
    <x v="0"/>
    <s v="POD"/>
    <x v="1"/>
  </r>
  <r>
    <n v="4"/>
    <x v="0"/>
    <s v="Friday"/>
    <d v="2025-01-24T00:00:00"/>
    <n v="5"/>
    <x v="234"/>
    <x v="2"/>
    <x v="1"/>
    <s v="Distributor Damaged"/>
    <x v="1"/>
  </r>
  <r>
    <n v="4"/>
    <x v="0"/>
    <s v="Friday"/>
    <d v="2025-01-24T00:00:00"/>
    <n v="6"/>
    <x v="235"/>
    <x v="0"/>
    <x v="0"/>
    <s v="HV"/>
    <x v="1"/>
  </r>
  <r>
    <n v="4"/>
    <x v="0"/>
    <s v="Friday"/>
    <d v="2025-01-24T00:00:00"/>
    <n v="7"/>
    <x v="236"/>
    <x v="3"/>
    <x v="1"/>
    <s v="Open TT"/>
    <x v="1"/>
  </r>
  <r>
    <n v="4"/>
    <x v="0"/>
    <s v="Friday"/>
    <d v="2025-01-24T00:00:00"/>
    <n v="8"/>
    <x v="237"/>
    <x v="2"/>
    <x v="2"/>
    <s v="SIV"/>
    <x v="1"/>
  </r>
  <r>
    <n v="4"/>
    <x v="0"/>
    <s v="Friday"/>
    <d v="2025-01-24T00:00:00"/>
    <n v="9"/>
    <x v="238"/>
    <x v="2"/>
    <x v="2"/>
    <s v="BP"/>
    <x v="1"/>
  </r>
  <r>
    <n v="4"/>
    <x v="0"/>
    <s v="Friday"/>
    <d v="2025-01-24T00:00:00"/>
    <n v="10"/>
    <x v="239"/>
    <x v="0"/>
    <x v="0"/>
    <s v="FFT"/>
    <x v="1"/>
  </r>
  <r>
    <n v="4"/>
    <x v="0"/>
    <s v="Friday"/>
    <d v="2025-01-24T00:00:00"/>
    <n v="11"/>
    <x v="240"/>
    <x v="2"/>
    <x v="2"/>
    <s v="SIV"/>
    <x v="1"/>
  </r>
  <r>
    <n v="4"/>
    <x v="0"/>
    <s v="Friday"/>
    <d v="2025-01-24T00:00:00"/>
    <n v="12"/>
    <x v="241"/>
    <x v="2"/>
    <x v="2"/>
    <s v="OTP"/>
    <x v="1"/>
  </r>
  <r>
    <n v="4"/>
    <x v="0"/>
    <s v="Friday"/>
    <d v="2025-01-24T00:00:00"/>
    <n v="13"/>
    <x v="242"/>
    <x v="1"/>
    <x v="0"/>
    <s v="Invoice"/>
    <x v="1"/>
  </r>
  <r>
    <n v="4"/>
    <x v="0"/>
    <s v="Friday"/>
    <d v="2025-01-24T00:00:00"/>
    <n v="14"/>
    <x v="243"/>
    <x v="2"/>
    <x v="1"/>
    <s v="Lost inventory"/>
    <x v="1"/>
  </r>
  <r>
    <n v="4"/>
    <x v="0"/>
    <s v="Friday"/>
    <d v="2025-01-24T00:00:00"/>
    <n v="15"/>
    <x v="244"/>
    <x v="3"/>
    <x v="1"/>
    <s v="Open TT"/>
    <x v="0"/>
  </r>
  <r>
    <n v="4"/>
    <x v="0"/>
    <s v="Friday"/>
    <d v="2025-01-24T00:00:00"/>
    <n v="16"/>
    <x v="245"/>
    <x v="2"/>
    <x v="2"/>
    <s v="BP"/>
    <x v="1"/>
  </r>
  <r>
    <n v="4"/>
    <x v="0"/>
    <s v="Friday"/>
    <d v="2025-01-24T00:00:00"/>
    <n v="17"/>
    <x v="242"/>
    <x v="1"/>
    <x v="0"/>
    <s v="Invoice"/>
    <x v="0"/>
  </r>
  <r>
    <n v="4"/>
    <x v="0"/>
    <s v="Friday"/>
    <d v="2025-01-24T00:00:00"/>
    <n v="18"/>
    <x v="246"/>
    <x v="2"/>
    <x v="1"/>
    <s v="Stranded inventory"/>
    <x v="1"/>
  </r>
  <r>
    <n v="4"/>
    <x v="0"/>
    <s v="Friday"/>
    <d v="2025-01-24T00:00:00"/>
    <n v="19"/>
    <x v="247"/>
    <x v="0"/>
    <x v="0"/>
    <s v="HV"/>
    <x v="0"/>
  </r>
  <r>
    <n v="4"/>
    <x v="0"/>
    <s v="Friday"/>
    <d v="2025-01-24T00:00:00"/>
    <n v="20"/>
    <x v="248"/>
    <x v="0"/>
    <x v="0"/>
    <s v="HV"/>
    <x v="1"/>
  </r>
  <r>
    <n v="4"/>
    <x v="0"/>
    <s v="Friday"/>
    <d v="2025-01-24T00:00:00"/>
    <n v="21"/>
    <x v="249"/>
    <x v="1"/>
    <x v="2"/>
    <s v="E8572"/>
    <x v="1"/>
  </r>
  <r>
    <n v="4"/>
    <x v="0"/>
    <s v="Saturday"/>
    <d v="2025-01-25T00:00:00"/>
    <n v="1"/>
    <x v="250"/>
    <x v="2"/>
    <x v="0"/>
    <s v="Reimbursed"/>
    <x v="1"/>
  </r>
  <r>
    <n v="4"/>
    <x v="0"/>
    <s v="Saturday"/>
    <d v="2025-01-25T00:00:00"/>
    <n v="2"/>
    <x v="251"/>
    <x v="2"/>
    <x v="1"/>
    <s v="Lost inventory"/>
    <x v="1"/>
  </r>
  <r>
    <n v="4"/>
    <x v="0"/>
    <s v="Saturday"/>
    <d v="2025-01-25T00:00:00"/>
    <n v="3"/>
    <x v="252"/>
    <x v="3"/>
    <x v="1"/>
    <s v="Open TT"/>
    <x v="0"/>
  </r>
  <r>
    <n v="4"/>
    <x v="0"/>
    <s v="Saturday"/>
    <d v="2025-01-25T00:00:00"/>
    <n v="4"/>
    <x v="253"/>
    <x v="2"/>
    <x v="1"/>
    <s v="Lost inventory"/>
    <x v="1"/>
  </r>
  <r>
    <n v="4"/>
    <x v="0"/>
    <s v="Saturday"/>
    <d v="2025-01-25T00:00:00"/>
    <n v="5"/>
    <x v="254"/>
    <x v="0"/>
    <x v="1"/>
    <s v="Feeds"/>
    <x v="0"/>
  </r>
  <r>
    <n v="4"/>
    <x v="0"/>
    <s v="Saturday"/>
    <d v="2025-01-25T00:00:00"/>
    <n v="6"/>
    <x v="255"/>
    <x v="2"/>
    <x v="1"/>
    <s v="Damaged inventory"/>
    <x v="0"/>
  </r>
  <r>
    <n v="4"/>
    <x v="0"/>
    <s v="Saturday"/>
    <d v="2025-01-25T00:00:00"/>
    <n v="7"/>
    <x v="256"/>
    <x v="0"/>
    <x v="0"/>
    <s v="VAT"/>
    <x v="1"/>
  </r>
  <r>
    <n v="4"/>
    <x v="0"/>
    <s v="Saturday"/>
    <d v="2025-01-25T00:00:00"/>
    <n v="8"/>
    <x v="257"/>
    <x v="3"/>
    <x v="0"/>
    <s v="Open TT"/>
    <x v="1"/>
  </r>
  <r>
    <n v="4"/>
    <x v="0"/>
    <s v="Saturday"/>
    <d v="2025-01-25T00:00:00"/>
    <n v="9"/>
    <x v="258"/>
    <x v="1"/>
    <x v="1"/>
    <s v="Req info"/>
    <x v="1"/>
  </r>
  <r>
    <n v="4"/>
    <x v="0"/>
    <s v="Saturday"/>
    <d v="2025-01-25T00:00:00"/>
    <n v="10"/>
    <x v="259"/>
    <x v="2"/>
    <x v="2"/>
    <s v="A+ content"/>
    <x v="1"/>
  </r>
  <r>
    <n v="4"/>
    <x v="0"/>
    <s v="Saturday"/>
    <d v="2025-01-25T00:00:00"/>
    <n v="11"/>
    <x v="260"/>
    <x v="2"/>
    <x v="0"/>
    <s v="Item Ineligible"/>
    <x v="1"/>
  </r>
  <r>
    <n v="4"/>
    <x v="0"/>
    <s v="Saturday"/>
    <d v="2025-01-25T00:00:00"/>
    <n v="12"/>
    <x v="261"/>
    <x v="3"/>
    <x v="1"/>
    <s v="Open TT"/>
    <x v="1"/>
  </r>
  <r>
    <n v="4"/>
    <x v="0"/>
    <s v="Saturday"/>
    <d v="2025-01-25T00:00:00"/>
    <n v="13"/>
    <x v="262"/>
    <x v="3"/>
    <x v="1"/>
    <s v="Missed pickup"/>
    <x v="0"/>
  </r>
  <r>
    <n v="4"/>
    <x v="0"/>
    <s v="Saturday"/>
    <d v="2025-01-25T00:00:00"/>
    <n v="14"/>
    <x v="263"/>
    <x v="2"/>
    <x v="1"/>
    <s v="VTR"/>
    <x v="0"/>
  </r>
  <r>
    <n v="4"/>
    <x v="0"/>
    <s v="Saturday"/>
    <d v="2025-01-25T00:00:00"/>
    <n v="15"/>
    <x v="264"/>
    <x v="1"/>
    <x v="1"/>
    <s v="Removal Order"/>
    <x v="0"/>
  </r>
  <r>
    <n v="4"/>
    <x v="0"/>
    <s v="Saturday"/>
    <d v="2025-01-25T00:00:00"/>
    <n v="16"/>
    <x v="265"/>
    <x v="0"/>
    <x v="0"/>
    <s v="HV"/>
    <x v="0"/>
  </r>
  <r>
    <n v="4"/>
    <x v="0"/>
    <s v="Saturday"/>
    <d v="2025-01-25T00:00:00"/>
    <n v="17"/>
    <x v="266"/>
    <x v="2"/>
    <x v="0"/>
    <s v="Item Ineligible"/>
    <x v="1"/>
  </r>
  <r>
    <n v="4"/>
    <x v="0"/>
    <s v="Saturday"/>
    <d v="2025-01-25T00:00:00"/>
    <n v="18"/>
    <x v="267"/>
    <x v="2"/>
    <x v="1"/>
    <s v="Order"/>
    <x v="0"/>
  </r>
  <r>
    <n v="4"/>
    <x v="0"/>
    <s v="Saturday"/>
    <d v="2025-01-25T00:00:00"/>
    <n v="19"/>
    <x v="268"/>
    <x v="2"/>
    <x v="1"/>
    <s v="Order"/>
    <x v="0"/>
  </r>
  <r>
    <n v="4"/>
    <x v="0"/>
    <s v="Saturday"/>
    <d v="2025-01-25T00:00:00"/>
    <n v="20"/>
    <x v="269"/>
    <x v="2"/>
    <x v="1"/>
    <s v="Order"/>
    <x v="1"/>
  </r>
  <r>
    <n v="4"/>
    <x v="0"/>
    <s v="Saturday"/>
    <d v="2025-01-25T00:00:00"/>
    <n v="21"/>
    <x v="270"/>
    <x v="0"/>
    <x v="0"/>
    <s v="NL"/>
    <x v="1"/>
  </r>
  <r>
    <n v="4"/>
    <x v="0"/>
    <s v="Saturday"/>
    <d v="2025-01-25T00:00:00"/>
    <n v="22"/>
    <x v="271"/>
    <x v="2"/>
    <x v="1"/>
    <s v="Receiving"/>
    <x v="1"/>
  </r>
  <r>
    <n v="4"/>
    <x v="0"/>
    <s v="Saturday"/>
    <d v="2025-01-25T00:00:00"/>
    <n v="23"/>
    <x v="272"/>
    <x v="2"/>
    <x v="2"/>
    <s v="Premium Shipping Option"/>
    <x v="1"/>
  </r>
  <r>
    <n v="4"/>
    <x v="0"/>
    <s v="Saturday"/>
    <d v="2025-01-25T00:00:00"/>
    <n v="24"/>
    <x v="261"/>
    <x v="2"/>
    <x v="1"/>
    <s v="Featured offer"/>
    <x v="1"/>
  </r>
  <r>
    <n v="5"/>
    <x v="0"/>
    <s v="Tuesday"/>
    <d v="2025-01-28T00:00:00"/>
    <n v="1"/>
    <x v="273"/>
    <x v="2"/>
    <x v="1"/>
    <s v="Non returnable ASIN"/>
    <x v="1"/>
  </r>
  <r>
    <n v="5"/>
    <x v="0"/>
    <s v="Tuesday"/>
    <d v="2025-01-28T00:00:00"/>
    <n v="2"/>
    <x v="274"/>
    <x v="2"/>
    <x v="1"/>
    <s v="Removal Order"/>
    <x v="1"/>
  </r>
  <r>
    <n v="5"/>
    <x v="0"/>
    <s v="Tuesday"/>
    <d v="2025-01-28T00:00:00"/>
    <n v="3"/>
    <x v="275"/>
    <x v="2"/>
    <x v="1"/>
    <s v="Damaged inventory"/>
    <x v="1"/>
  </r>
  <r>
    <n v="5"/>
    <x v="0"/>
    <s v="Tuesday"/>
    <d v="2025-01-28T00:00:00"/>
    <n v="4"/>
    <x v="276"/>
    <x v="2"/>
    <x v="1"/>
    <s v="Removal Order"/>
    <x v="1"/>
  </r>
  <r>
    <n v="5"/>
    <x v="0"/>
    <s v="Tuesday"/>
    <d v="2025-01-28T00:00:00"/>
    <n v="5"/>
    <x v="277"/>
    <x v="3"/>
    <x v="1"/>
    <s v="Open TT"/>
    <x v="0"/>
  </r>
  <r>
    <n v="5"/>
    <x v="0"/>
    <s v="Tuesday"/>
    <d v="2025-01-28T00:00:00"/>
    <n v="6"/>
    <x v="278"/>
    <x v="1"/>
    <x v="0"/>
    <s v="Re-evaluation request"/>
    <x v="1"/>
  </r>
  <r>
    <n v="5"/>
    <x v="0"/>
    <s v="Tuesday"/>
    <d v="2025-01-28T00:00:00"/>
    <n v="7"/>
    <x v="279"/>
    <x v="2"/>
    <x v="2"/>
    <s v="Merged case"/>
    <x v="0"/>
  </r>
  <r>
    <n v="5"/>
    <x v="0"/>
    <s v="Tuesday"/>
    <d v="2025-01-28T00:00:00"/>
    <n v="8"/>
    <x v="280"/>
    <x v="1"/>
    <x v="0"/>
    <s v="Req info"/>
    <x v="1"/>
  </r>
  <r>
    <n v="5"/>
    <x v="0"/>
    <s v="Tuesday"/>
    <d v="2025-01-28T00:00:00"/>
    <n v="9"/>
    <x v="281"/>
    <x v="0"/>
    <x v="1"/>
    <s v="EG"/>
    <x v="1"/>
  </r>
  <r>
    <n v="5"/>
    <x v="0"/>
    <s v="Tuesday"/>
    <d v="2025-01-28T00:00:00"/>
    <n v="10"/>
    <x v="282"/>
    <x v="2"/>
    <x v="1"/>
    <s v="FBA New selection program"/>
    <x v="1"/>
  </r>
  <r>
    <n v="5"/>
    <x v="0"/>
    <s v="Tuesday"/>
    <d v="2025-01-28T00:00:00"/>
    <n v="11"/>
    <x v="283"/>
    <x v="1"/>
    <x v="0"/>
    <s v="Pick-up slip"/>
    <x v="0"/>
  </r>
  <r>
    <n v="5"/>
    <x v="0"/>
    <s v="Tuesday"/>
    <d v="2025-01-28T00:00:00"/>
    <n v="12"/>
    <x v="284"/>
    <x v="0"/>
    <x v="2"/>
    <s v="IIDP"/>
    <x v="1"/>
  </r>
  <r>
    <n v="5"/>
    <x v="0"/>
    <s v="Tuesday"/>
    <d v="2025-01-28T00:00:00"/>
    <n v="13"/>
    <x v="285"/>
    <x v="2"/>
    <x v="2"/>
    <s v="180 days"/>
    <x v="0"/>
  </r>
  <r>
    <n v="5"/>
    <x v="0"/>
    <s v="Tuesday"/>
    <d v="2025-01-28T00:00:00"/>
    <n v="14"/>
    <x v="276"/>
    <x v="3"/>
    <x v="1"/>
    <s v="Open TT"/>
    <x v="1"/>
  </r>
  <r>
    <n v="5"/>
    <x v="0"/>
    <s v="Tuesday"/>
    <d v="2025-01-28T00:00:00"/>
    <n v="15"/>
    <x v="286"/>
    <x v="3"/>
    <x v="1"/>
    <s v="Easyship "/>
    <x v="0"/>
  </r>
  <r>
    <n v="5"/>
    <x v="0"/>
    <s v="Tuesday"/>
    <d v="2025-01-28T00:00:00"/>
    <n v="16"/>
    <x v="287"/>
    <x v="1"/>
    <x v="0"/>
    <s v="Req info"/>
    <x v="1"/>
  </r>
  <r>
    <n v="5"/>
    <x v="0"/>
    <s v="Tuesday"/>
    <d v="2025-01-28T00:00:00"/>
    <n v="17"/>
    <x v="288"/>
    <x v="2"/>
    <x v="1"/>
    <s v="Removal Order"/>
    <x v="1"/>
  </r>
  <r>
    <n v="5"/>
    <x v="0"/>
    <s v="Tuesday"/>
    <d v="2025-01-28T00:00:00"/>
    <n v="18"/>
    <x v="289"/>
    <x v="2"/>
    <x v="1"/>
    <s v="Order"/>
    <x v="0"/>
  </r>
  <r>
    <n v="5"/>
    <x v="0"/>
    <s v="Wednesday"/>
    <d v="2025-01-29T00:00:00"/>
    <n v="1"/>
    <x v="290"/>
    <x v="2"/>
    <x v="0"/>
    <s v="Item Ineligible"/>
    <x v="1"/>
  </r>
  <r>
    <n v="5"/>
    <x v="0"/>
    <s v="Wednesday"/>
    <d v="2025-01-29T00:00:00"/>
    <n v="2"/>
    <x v="291"/>
    <x v="2"/>
    <x v="1"/>
    <s v="Packaging Requirements"/>
    <x v="0"/>
  </r>
  <r>
    <n v="5"/>
    <x v="0"/>
    <s v="Wednesday"/>
    <d v="2025-01-29T00:00:00"/>
    <n v="3"/>
    <x v="292"/>
    <x v="1"/>
    <x v="2"/>
    <s v="BP"/>
    <x v="1"/>
  </r>
  <r>
    <n v="5"/>
    <x v="0"/>
    <s v="Wednesday"/>
    <d v="2025-01-29T00:00:00"/>
    <n v="4"/>
    <x v="293"/>
    <x v="2"/>
    <x v="1"/>
    <s v="WD"/>
    <x v="1"/>
  </r>
  <r>
    <n v="5"/>
    <x v="0"/>
    <s v="Wednesday"/>
    <d v="2025-01-29T00:00:00"/>
    <n v="5"/>
    <x v="294"/>
    <x v="2"/>
    <x v="0"/>
    <s v="Reimbursed"/>
    <x v="1"/>
  </r>
  <r>
    <n v="5"/>
    <x v="0"/>
    <s v="Wednesday"/>
    <d v="2025-01-29T00:00:00"/>
    <n v="6"/>
    <x v="295"/>
    <x v="2"/>
    <x v="2"/>
    <s v="Order payment"/>
    <x v="1"/>
  </r>
  <r>
    <n v="5"/>
    <x v="0"/>
    <s v="Wednesday"/>
    <d v="2025-01-29T00:00:00"/>
    <n v="7"/>
    <x v="296"/>
    <x v="3"/>
    <x v="1"/>
    <s v="Open TT"/>
    <x v="1"/>
  </r>
  <r>
    <n v="5"/>
    <x v="0"/>
    <s v="Wednesday"/>
    <d v="2025-01-29T00:00:00"/>
    <n v="8"/>
    <x v="286"/>
    <x v="3"/>
    <x v="1"/>
    <s v="Open TT"/>
    <x v="1"/>
  </r>
  <r>
    <n v="5"/>
    <x v="0"/>
    <s v="Wednesday"/>
    <d v="2025-01-29T00:00:00"/>
    <n v="9"/>
    <x v="297"/>
    <x v="0"/>
    <x v="0"/>
    <s v="FBA"/>
    <x v="1"/>
  </r>
  <r>
    <n v="5"/>
    <x v="0"/>
    <s v="Wednesday"/>
    <d v="2025-01-29T00:00:00"/>
    <n v="10"/>
    <x v="283"/>
    <x v="1"/>
    <x v="0"/>
    <s v="Req info"/>
    <x v="1"/>
  </r>
  <r>
    <n v="5"/>
    <x v="0"/>
    <s v="Wednesday"/>
    <d v="2025-01-29T00:00:00"/>
    <n v="11"/>
    <x v="298"/>
    <x v="2"/>
    <x v="2"/>
    <s v="Account status"/>
    <x v="1"/>
  </r>
  <r>
    <n v="5"/>
    <x v="0"/>
    <s v="Wednesday"/>
    <d v="2025-01-29T00:00:00"/>
    <n v="12"/>
    <x v="299"/>
    <x v="0"/>
    <x v="2"/>
    <s v="DE"/>
    <x v="0"/>
  </r>
  <r>
    <n v="5"/>
    <x v="0"/>
    <s v="Wednesday"/>
    <d v="2025-01-29T00:00:00"/>
    <n v="13"/>
    <x v="300"/>
    <x v="3"/>
    <x v="2"/>
    <s v="Account status"/>
    <x v="1"/>
  </r>
  <r>
    <n v="5"/>
    <x v="0"/>
    <s v="Wednesday"/>
    <d v="2025-01-29T00:00:00"/>
    <n v="14"/>
    <x v="301"/>
    <x v="0"/>
    <x v="1"/>
    <s v="*FFTD"/>
    <x v="1"/>
  </r>
  <r>
    <n v="5"/>
    <x v="0"/>
    <s v="Wednesday"/>
    <d v="2025-01-29T00:00:00"/>
    <n v="15"/>
    <x v="302"/>
    <x v="1"/>
    <x v="0"/>
    <s v="Invoice"/>
    <x v="0"/>
  </r>
  <r>
    <n v="5"/>
    <x v="0"/>
    <s v="Wednesday"/>
    <d v="2025-01-29T00:00:00"/>
    <n v="16"/>
    <x v="303"/>
    <x v="2"/>
    <x v="1"/>
    <s v="*Order"/>
    <x v="1"/>
  </r>
  <r>
    <n v="5"/>
    <x v="0"/>
    <s v="Wednesday"/>
    <d v="2025-01-29T00:00:00"/>
    <n v="17"/>
    <x v="304"/>
    <x v="0"/>
    <x v="0"/>
    <s v="DE"/>
    <x v="1"/>
  </r>
  <r>
    <n v="5"/>
    <x v="0"/>
    <s v="Thursday"/>
    <d v="2025-01-30T00:00:00"/>
    <n v="1"/>
    <x v="305"/>
    <x v="3"/>
    <x v="2"/>
    <s v="Open TT"/>
    <x v="1"/>
  </r>
  <r>
    <n v="5"/>
    <x v="0"/>
    <s v="Thursday"/>
    <d v="2025-01-30T00:00:00"/>
    <n v="2"/>
    <x v="306"/>
    <x v="2"/>
    <x v="2"/>
    <s v="Payments"/>
    <x v="1"/>
  </r>
  <r>
    <n v="5"/>
    <x v="0"/>
    <s v="Thursday"/>
    <d v="2025-01-30T00:00:00"/>
    <n v="3"/>
    <x v="307"/>
    <x v="2"/>
    <x v="2"/>
    <s v="Foreign Currency Disbursement"/>
    <x v="1"/>
  </r>
  <r>
    <n v="5"/>
    <x v="0"/>
    <s v="Thursday"/>
    <d v="2025-01-30T00:00:00"/>
    <n v="4"/>
    <x v="308"/>
    <x v="2"/>
    <x v="1"/>
    <s v="Unfulfillable inventory"/>
    <x v="1"/>
  </r>
  <r>
    <n v="5"/>
    <x v="0"/>
    <s v="Thursday"/>
    <d v="2025-01-30T00:00:00"/>
    <n v="5"/>
    <x v="309"/>
    <x v="3"/>
    <x v="1"/>
    <s v="Missed pickup"/>
    <x v="1"/>
  </r>
  <r>
    <n v="5"/>
    <x v="0"/>
    <s v="Thursday"/>
    <d v="2025-01-30T00:00:00"/>
    <n v="6"/>
    <x v="310"/>
    <x v="0"/>
    <x v="2"/>
    <s v="KYC"/>
    <x v="1"/>
  </r>
  <r>
    <n v="5"/>
    <x v="0"/>
    <s v="Thursday"/>
    <d v="2025-01-30T00:00:00"/>
    <n v="7"/>
    <x v="311"/>
    <x v="1"/>
    <x v="1"/>
    <s v="Lost inventory"/>
    <x v="0"/>
  </r>
  <r>
    <n v="5"/>
    <x v="0"/>
    <s v="Thursday"/>
    <d v="2025-01-30T00:00:00"/>
    <n v="8"/>
    <x v="312"/>
    <x v="1"/>
    <x v="0"/>
    <s v="POD"/>
    <x v="1"/>
  </r>
  <r>
    <n v="5"/>
    <x v="0"/>
    <s v="Thursday"/>
    <d v="2025-01-30T00:00:00"/>
    <n v="9"/>
    <x v="313"/>
    <x v="2"/>
    <x v="2"/>
    <s v="E5461"/>
    <x v="1"/>
  </r>
  <r>
    <n v="5"/>
    <x v="0"/>
    <s v="Thursday"/>
    <d v="2025-01-30T00:00:00"/>
    <n v="10"/>
    <x v="314"/>
    <x v="3"/>
    <x v="1"/>
    <s v="Removal Order"/>
    <x v="1"/>
  </r>
  <r>
    <n v="5"/>
    <x v="0"/>
    <s v="Thursday"/>
    <d v="2025-01-30T00:00:00"/>
    <n v="11"/>
    <x v="315"/>
    <x v="2"/>
    <x v="0"/>
    <s v="Item Ineligible"/>
    <x v="1"/>
  </r>
  <r>
    <n v="5"/>
    <x v="0"/>
    <s v="Thursday"/>
    <d v="2025-01-30T00:00:00"/>
    <n v="12"/>
    <x v="314"/>
    <x v="2"/>
    <x v="1"/>
    <s v="Informed as per TT"/>
    <x v="0"/>
  </r>
  <r>
    <n v="5"/>
    <x v="0"/>
    <s v="Friday"/>
    <d v="2025-01-31T00:00:00"/>
    <n v="1"/>
    <x v="316"/>
    <x v="2"/>
    <x v="2"/>
    <s v="Account closure"/>
    <x v="1"/>
  </r>
  <r>
    <n v="5"/>
    <x v="0"/>
    <s v="Friday"/>
    <d v="2025-01-31T00:00:00"/>
    <n v="2"/>
    <x v="317"/>
    <x v="2"/>
    <x v="1"/>
    <s v="Subscribe and Save"/>
    <x v="1"/>
  </r>
  <r>
    <n v="5"/>
    <x v="0"/>
    <s v="Friday"/>
    <d v="2025-01-31T00:00:00"/>
    <n v="3"/>
    <x v="318"/>
    <x v="3"/>
    <x v="2"/>
    <s v="Open TT"/>
    <x v="1"/>
  </r>
  <r>
    <n v="5"/>
    <x v="0"/>
    <s v="Friday"/>
    <d v="2025-01-31T00:00:00"/>
    <n v="4"/>
    <x v="319"/>
    <x v="0"/>
    <x v="2"/>
    <s v="*Account Manager"/>
    <x v="0"/>
  </r>
  <r>
    <n v="5"/>
    <x v="0"/>
    <s v="Friday"/>
    <d v="2025-01-31T00:00:00"/>
    <n v="5"/>
    <x v="320"/>
    <x v="2"/>
    <x v="0"/>
    <s v="Reimbursed"/>
    <x v="1"/>
  </r>
  <r>
    <n v="5"/>
    <x v="0"/>
    <s v="Friday"/>
    <d v="2025-01-31T00:00:00"/>
    <n v="6"/>
    <x v="321"/>
    <x v="2"/>
    <x v="2"/>
    <s v="Chat disconnected"/>
    <x v="0"/>
  </r>
  <r>
    <n v="5"/>
    <x v="0"/>
    <s v="Friday"/>
    <d v="2025-01-31T00:00:00"/>
    <n v="7"/>
    <x v="322"/>
    <x v="0"/>
    <x v="2"/>
    <s v="SIV"/>
    <x v="1"/>
  </r>
  <r>
    <n v="5"/>
    <x v="0"/>
    <s v="Friday"/>
    <d v="2025-01-31T00:00:00"/>
    <n v="8"/>
    <x v="323"/>
    <x v="0"/>
    <x v="2"/>
    <s v="BR support"/>
    <x v="1"/>
  </r>
  <r>
    <n v="5"/>
    <x v="0"/>
    <s v="Friday"/>
    <d v="2025-01-31T00:00:00"/>
    <n v="9"/>
    <x v="324"/>
    <x v="3"/>
    <x v="1"/>
    <s v="Open TT"/>
    <x v="0"/>
  </r>
  <r>
    <n v="5"/>
    <x v="0"/>
    <s v="Friday"/>
    <d v="2025-01-31T00:00:00"/>
    <n v="10"/>
    <x v="325"/>
    <x v="2"/>
    <x v="1"/>
    <s v="Damaged inventory"/>
    <x v="1"/>
  </r>
  <r>
    <n v="5"/>
    <x v="0"/>
    <s v="Friday"/>
    <d v="2025-01-31T00:00:00"/>
    <n v="11"/>
    <x v="326"/>
    <x v="2"/>
    <x v="1"/>
    <s v="Removal Order"/>
    <x v="0"/>
  </r>
  <r>
    <n v="5"/>
    <x v="0"/>
    <s v="Friday"/>
    <d v="2025-01-31T00:00:00"/>
    <n v="12"/>
    <x v="327"/>
    <x v="0"/>
    <x v="1"/>
    <s v="IIDP"/>
    <x v="1"/>
  </r>
  <r>
    <n v="5"/>
    <x v="0"/>
    <s v="Friday"/>
    <d v="2025-01-31T00:00:00"/>
    <n v="13"/>
    <x v="328"/>
    <x v="0"/>
    <x v="0"/>
    <s v="HV"/>
    <x v="0"/>
  </r>
  <r>
    <n v="5"/>
    <x v="0"/>
    <s v="Friday"/>
    <d v="2025-01-31T00:00:00"/>
    <n v="14"/>
    <x v="329"/>
    <x v="0"/>
    <x v="2"/>
    <s v="Inactive listing"/>
    <x v="1"/>
  </r>
  <r>
    <n v="5"/>
    <x v="0"/>
    <s v="Friday"/>
    <d v="2025-01-31T00:00:00"/>
    <n v="15"/>
    <x v="330"/>
    <x v="1"/>
    <x v="0"/>
    <s v="Req info"/>
    <x v="1"/>
  </r>
  <r>
    <n v="5"/>
    <x v="0"/>
    <s v="Friday"/>
    <d v="2025-01-31T00:00:00"/>
    <n v="16"/>
    <x v="331"/>
    <x v="2"/>
    <x v="1"/>
    <s v="Removal Order"/>
    <x v="1"/>
  </r>
  <r>
    <n v="5"/>
    <x v="0"/>
    <s v="Friday"/>
    <d v="2025-01-31T00:00:00"/>
    <n v="17"/>
    <x v="332"/>
    <x v="0"/>
    <x v="2"/>
    <s v="BR support"/>
    <x v="1"/>
  </r>
  <r>
    <n v="5"/>
    <x v="0"/>
    <s v="Friday"/>
    <d v="2025-01-31T00:00:00"/>
    <n v="18"/>
    <x v="333"/>
    <x v="2"/>
    <x v="2"/>
    <s v="Individual account"/>
    <x v="1"/>
  </r>
  <r>
    <n v="5"/>
    <x v="0"/>
    <s v="Friday"/>
    <d v="2025-01-31T00:00:00"/>
    <n v="19"/>
    <x v="334"/>
    <x v="2"/>
    <x v="1"/>
    <s v="Sales rank"/>
    <x v="1"/>
  </r>
  <r>
    <n v="5"/>
    <x v="0"/>
    <s v="Friday"/>
    <d v="2025-01-31T00:00:00"/>
    <n v="20"/>
    <x v="335"/>
    <x v="0"/>
    <x v="2"/>
    <s v="Disbursement"/>
    <x v="1"/>
  </r>
  <r>
    <n v="5"/>
    <x v="0"/>
    <s v="Friday"/>
    <d v="2025-01-31T00:00:00"/>
    <n v="21"/>
    <x v="336"/>
    <x v="1"/>
    <x v="1"/>
    <s v="MCF order"/>
    <x v="1"/>
  </r>
  <r>
    <n v="5"/>
    <x v="0"/>
    <s v="Friday"/>
    <d v="2025-01-31T00:00:00"/>
    <n v="22"/>
    <x v="337"/>
    <x v="0"/>
    <x v="1"/>
    <s v="ILAC"/>
    <x v="1"/>
  </r>
  <r>
    <n v="5"/>
    <x v="0"/>
    <s v="Friday"/>
    <d v="2025-01-31T00:00:00"/>
    <n v="23"/>
    <x v="338"/>
    <x v="2"/>
    <x v="1"/>
    <s v="Account closure"/>
    <x v="0"/>
  </r>
  <r>
    <n v="5"/>
    <x v="0"/>
    <s v="Friday"/>
    <d v="2025-01-31T00:00:00"/>
    <n v="24"/>
    <x v="339"/>
    <x v="2"/>
    <x v="1"/>
    <s v="Customer return"/>
    <x v="1"/>
  </r>
  <r>
    <n v="5"/>
    <x v="1"/>
    <s v="Saturday"/>
    <d v="2025-02-01T00:00:00"/>
    <n v="1"/>
    <x v="340"/>
    <x v="3"/>
    <x v="1"/>
    <s v="Contacted carrier"/>
    <x v="1"/>
  </r>
  <r>
    <n v="1"/>
    <x v="0"/>
    <s v="Thursday"/>
    <d v="2025-01-02T00:00:00"/>
    <n v="2"/>
    <x v="341"/>
    <x v="2"/>
    <x v="0"/>
    <s v="Reimbursed"/>
    <x v="1"/>
  </r>
  <r>
    <n v="1"/>
    <x v="0"/>
    <s v="Thursday"/>
    <d v="2025-01-02T00:00:00"/>
    <n v="3"/>
    <x v="342"/>
    <x v="1"/>
    <x v="0"/>
    <s v="Invoice"/>
    <x v="1"/>
  </r>
  <r>
    <n v="1"/>
    <x v="0"/>
    <s v="Thursday"/>
    <d v="2025-01-02T00:00:00"/>
    <n v="4"/>
    <x v="343"/>
    <x v="2"/>
    <x v="1"/>
    <s v="Removal Order"/>
    <x v="0"/>
  </r>
  <r>
    <n v="1"/>
    <x v="0"/>
    <s v="Thursday"/>
    <d v="2025-01-02T00:00:00"/>
    <n v="5"/>
    <x v="344"/>
    <x v="3"/>
    <x v="1"/>
    <s v="Open TT"/>
    <x v="1"/>
  </r>
  <r>
    <n v="1"/>
    <x v="0"/>
    <s v="Thursday"/>
    <d v="2025-01-02T00:00:00"/>
    <n v="6"/>
    <x v="345"/>
    <x v="1"/>
    <x v="0"/>
    <s v="POD"/>
    <x v="1"/>
  </r>
  <r>
    <n v="1"/>
    <x v="0"/>
    <s v="Thursday"/>
    <d v="2025-01-02T00:00:00"/>
    <n v="7"/>
    <x v="346"/>
    <x v="3"/>
    <x v="0"/>
    <s v="Open TT"/>
    <x v="1"/>
  </r>
  <r>
    <n v="1"/>
    <x v="0"/>
    <s v="Thursday"/>
    <d v="2025-01-02T00:00:00"/>
    <n v="8"/>
    <x v="347"/>
    <x v="2"/>
    <x v="1"/>
    <s v="Lost inventory"/>
    <x v="1"/>
  </r>
  <r>
    <n v="1"/>
    <x v="0"/>
    <s v="Thursday"/>
    <d v="2025-01-02T00:00:00"/>
    <n v="9"/>
    <x v="348"/>
    <x v="1"/>
    <x v="1"/>
    <s v="Query unclear"/>
    <x v="1"/>
  </r>
  <r>
    <n v="1"/>
    <x v="0"/>
    <s v="Thursday"/>
    <d v="2025-01-02T00:00:00"/>
    <n v="10"/>
    <x v="349"/>
    <x v="0"/>
    <x v="2"/>
    <s v="*IIDP"/>
    <x v="0"/>
  </r>
  <r>
    <n v="1"/>
    <x v="0"/>
    <s v="Thursday"/>
    <d v="2025-01-02T00:00:00"/>
    <n v="11"/>
    <x v="350"/>
    <x v="2"/>
    <x v="1"/>
    <s v="Easyship "/>
    <x v="0"/>
  </r>
  <r>
    <n v="1"/>
    <x v="0"/>
    <s v="Thursday"/>
    <d v="2025-01-02T00:00:00"/>
    <n v="12"/>
    <x v="351"/>
    <x v="4"/>
    <x v="1"/>
    <s v="Seller opened a new chat"/>
    <x v="1"/>
  </r>
  <r>
    <n v="1"/>
    <x v="0"/>
    <s v="Thursday"/>
    <d v="2025-01-02T00:00:00"/>
    <n v="13"/>
    <x v="352"/>
    <x v="0"/>
    <x v="2"/>
    <s v="ILAC"/>
    <x v="1"/>
  </r>
  <r>
    <n v="1"/>
    <x v="0"/>
    <s v="Thursday"/>
    <d v="2025-01-02T00:00:00"/>
    <n v="14"/>
    <x v="353"/>
    <x v="2"/>
    <x v="2"/>
    <s v="Report a violation"/>
    <x v="1"/>
  </r>
  <r>
    <n v="1"/>
    <x v="0"/>
    <s v="Thursday"/>
    <d v="2025-01-02T00:00:00"/>
    <n v="15"/>
    <x v="354"/>
    <x v="3"/>
    <x v="2"/>
    <s v="Open TT"/>
    <x v="0"/>
  </r>
  <r>
    <n v="1"/>
    <x v="0"/>
    <s v="Thursday"/>
    <d v="2025-01-02T00:00:00"/>
    <n v="16"/>
    <x v="355"/>
    <x v="3"/>
    <x v="0"/>
    <s v="Open TT"/>
    <x v="1"/>
  </r>
  <r>
    <n v="1"/>
    <x v="0"/>
    <s v="Thursday"/>
    <d v="2025-01-02T00:00:00"/>
    <n v="17"/>
    <x v="356"/>
    <x v="2"/>
    <x v="2"/>
    <s v="Update business address"/>
    <x v="0"/>
  </r>
  <r>
    <n v="1"/>
    <x v="0"/>
    <s v="Thursday"/>
    <d v="2025-01-02T00:00:00"/>
    <n v="18"/>
    <x v="357"/>
    <x v="0"/>
    <x v="2"/>
    <s v="EG"/>
    <x v="1"/>
  </r>
  <r>
    <n v="1"/>
    <x v="0"/>
    <s v="Thursday"/>
    <d v="2025-01-02T00:00:00"/>
    <n v="19"/>
    <x v="358"/>
    <x v="3"/>
    <x v="1"/>
    <s v="Open TT"/>
    <x v="1"/>
  </r>
  <r>
    <n v="1"/>
    <x v="0"/>
    <s v="Thursday"/>
    <d v="2025-01-02T00:00:00"/>
    <n v="20"/>
    <x v="359"/>
    <x v="0"/>
    <x v="2"/>
    <s v="Feeds"/>
    <x v="1"/>
  </r>
  <r>
    <n v="1"/>
    <x v="0"/>
    <s v="Thursday"/>
    <d v="2025-01-02T00:00:00"/>
    <n v="21"/>
    <x v="360"/>
    <x v="1"/>
    <x v="2"/>
    <s v="Chat disconnected"/>
    <x v="0"/>
  </r>
  <r>
    <n v="1"/>
    <x v="0"/>
    <s v="Thursday"/>
    <d v="2025-01-02T00:00:00"/>
    <n v="22"/>
    <x v="361"/>
    <x v="3"/>
    <x v="1"/>
    <s v="Follow up required"/>
    <x v="0"/>
  </r>
  <r>
    <n v="1"/>
    <x v="0"/>
    <s v="Thursday"/>
    <d v="2025-01-02T00:00:00"/>
    <n v="23"/>
    <x v="362"/>
    <x v="3"/>
    <x v="0"/>
    <s v="Open TT"/>
    <x v="0"/>
  </r>
  <r>
    <n v="1"/>
    <x v="0"/>
    <s v="Thursday"/>
    <d v="2025-01-02T00:00:00"/>
    <n v="24"/>
    <x v="363"/>
    <x v="2"/>
    <x v="0"/>
    <s v="Contents tab"/>
    <x v="0"/>
  </r>
  <r>
    <n v="1"/>
    <x v="0"/>
    <s v="Thursday"/>
    <d v="2025-01-02T00:00:00"/>
    <n v="25"/>
    <x v="361"/>
    <x v="2"/>
    <x v="1"/>
    <s v="Removal Order"/>
    <x v="1"/>
  </r>
  <r>
    <n v="6"/>
    <x v="1"/>
    <s v="Tuesday"/>
    <d v="2025-02-04T00:00:00"/>
    <n v="1"/>
    <x v="364"/>
    <x v="3"/>
    <x v="1"/>
    <s v="Subscribe and Save"/>
    <x v="1"/>
  </r>
  <r>
    <n v="14"/>
    <x v="2"/>
    <s v="Wednesday"/>
    <d v="2025-04-02T00:00:00"/>
    <n v="2"/>
    <x v="365"/>
    <x v="0"/>
    <x v="0"/>
    <s v="HV"/>
    <x v="1"/>
  </r>
  <r>
    <n v="14"/>
    <x v="2"/>
    <s v="Wednesday"/>
    <d v="2025-04-02T00:00:00"/>
    <n v="3"/>
    <x v="366"/>
    <x v="2"/>
    <x v="1"/>
    <s v="Damaged inventory"/>
    <x v="1"/>
  </r>
  <r>
    <n v="14"/>
    <x v="2"/>
    <s v="Wednesday"/>
    <d v="2025-04-02T00:00:00"/>
    <n v="4"/>
    <x v="367"/>
    <x v="3"/>
    <x v="1"/>
    <s v="Open TT"/>
    <x v="1"/>
  </r>
  <r>
    <n v="14"/>
    <x v="2"/>
    <s v="Wednesday"/>
    <d v="2025-04-02T00:00:00"/>
    <n v="5"/>
    <x v="368"/>
    <x v="2"/>
    <x v="0"/>
    <s v="Reimbursed"/>
    <x v="0"/>
  </r>
  <r>
    <n v="14"/>
    <x v="2"/>
    <s v="Wednesday"/>
    <d v="2025-04-02T00:00:00"/>
    <n v="6"/>
    <x v="369"/>
    <x v="2"/>
    <x v="2"/>
    <s v="Virtual Bundle"/>
    <x v="0"/>
  </r>
  <r>
    <n v="14"/>
    <x v="2"/>
    <s v="Wednesday"/>
    <d v="2025-04-02T00:00:00"/>
    <n v="7"/>
    <x v="370"/>
    <x v="0"/>
    <x v="0"/>
    <s v="HV"/>
    <x v="1"/>
  </r>
  <r>
    <n v="14"/>
    <x v="2"/>
    <s v="Wednesday"/>
    <d v="2025-04-02T00:00:00"/>
    <n v="8"/>
    <x v="371"/>
    <x v="2"/>
    <x v="1"/>
    <s v="Removal Order"/>
    <x v="1"/>
  </r>
  <r>
    <n v="14"/>
    <x v="2"/>
    <s v="Wednesday"/>
    <d v="2025-04-02T00:00:00"/>
    <n v="9"/>
    <x v="364"/>
    <x v="3"/>
    <x v="1"/>
    <s v="Subscribe and Save"/>
    <x v="1"/>
  </r>
  <r>
    <n v="14"/>
    <x v="2"/>
    <s v="Wednesday"/>
    <d v="2025-04-02T00:00:00"/>
    <n v="10"/>
    <x v="252"/>
    <x v="3"/>
    <x v="1"/>
    <s v="Open TT"/>
    <x v="0"/>
  </r>
  <r>
    <n v="14"/>
    <x v="2"/>
    <s v="Wednesday"/>
    <d v="2025-04-02T00:00:00"/>
    <n v="11"/>
    <x v="372"/>
    <x v="2"/>
    <x v="1"/>
    <s v="Chat disconnected"/>
    <x v="0"/>
  </r>
  <r>
    <n v="14"/>
    <x v="2"/>
    <s v="Wednesday"/>
    <d v="2025-04-02T00:00:00"/>
    <n v="12"/>
    <x v="373"/>
    <x v="0"/>
    <x v="2"/>
    <s v="Feeds"/>
    <x v="1"/>
  </r>
  <r>
    <n v="14"/>
    <x v="2"/>
    <s v="Wednesday"/>
    <d v="2025-04-02T00:00:00"/>
    <n v="13"/>
    <x v="374"/>
    <x v="2"/>
    <x v="2"/>
    <s v="Inactive listing"/>
    <x v="1"/>
  </r>
  <r>
    <n v="14"/>
    <x v="2"/>
    <s v="Wednesday"/>
    <d v="2025-04-02T00:00:00"/>
    <n v="14"/>
    <x v="375"/>
    <x v="2"/>
    <x v="0"/>
    <s v="Shipment over 6 months"/>
    <x v="1"/>
  </r>
  <r>
    <n v="14"/>
    <x v="2"/>
    <s v="Wednesday"/>
    <d v="2025-04-02T00:00:00"/>
    <n v="15"/>
    <x v="376"/>
    <x v="2"/>
    <x v="0"/>
    <s v="Receiving"/>
    <x v="1"/>
  </r>
  <r>
    <n v="14"/>
    <x v="2"/>
    <s v="Wednesday"/>
    <d v="2025-04-02T00:00:00"/>
    <n v="16"/>
    <x v="377"/>
    <x v="0"/>
    <x v="0"/>
    <s v="HV"/>
    <x v="1"/>
  </r>
  <r>
    <n v="14"/>
    <x v="2"/>
    <s v="Wednesday"/>
    <d v="2025-04-02T00:00:00"/>
    <n v="17"/>
    <x v="378"/>
    <x v="2"/>
    <x v="1"/>
    <s v="Feedback Manager"/>
    <x v="1"/>
  </r>
  <r>
    <n v="14"/>
    <x v="2"/>
    <s v="Wednesday"/>
    <d v="2025-04-02T00:00:00"/>
    <n v="18"/>
    <x v="379"/>
    <x v="1"/>
    <x v="0"/>
    <s v="BOL"/>
    <x v="1"/>
  </r>
  <r>
    <n v="14"/>
    <x v="2"/>
    <s v="Wednesday"/>
    <d v="2025-04-02T00:00:00"/>
    <n v="19"/>
    <x v="380"/>
    <x v="1"/>
    <x v="1"/>
    <s v="Reserved inventory"/>
    <x v="1"/>
  </r>
  <r>
    <n v="6"/>
    <x v="1"/>
    <s v="Wednesday"/>
    <d v="2025-02-05T00:00:00"/>
    <n v="1"/>
    <x v="381"/>
    <x v="2"/>
    <x v="1"/>
    <s v="Removal Order"/>
    <x v="0"/>
  </r>
  <r>
    <n v="18"/>
    <x v="3"/>
    <s v="Friday"/>
    <d v="2025-05-02T00:00:00"/>
    <n v="2"/>
    <x v="382"/>
    <x v="2"/>
    <x v="0"/>
    <s v="Reconciled"/>
    <x v="1"/>
  </r>
  <r>
    <n v="18"/>
    <x v="3"/>
    <s v="Friday"/>
    <d v="2025-05-02T00:00:00"/>
    <n v="3"/>
    <x v="383"/>
    <x v="3"/>
    <x v="1"/>
    <s v="WD"/>
    <x v="1"/>
  </r>
  <r>
    <n v="18"/>
    <x v="3"/>
    <s v="Friday"/>
    <d v="2025-05-02T00:00:00"/>
    <n v="4"/>
    <x v="287"/>
    <x v="1"/>
    <x v="0"/>
    <s v="Invoice"/>
    <x v="1"/>
  </r>
  <r>
    <n v="18"/>
    <x v="3"/>
    <s v="Friday"/>
    <d v="2025-05-02T00:00:00"/>
    <n v="5"/>
    <x v="384"/>
    <x v="1"/>
    <x v="0"/>
    <s v="Invoice"/>
    <x v="1"/>
  </r>
  <r>
    <n v="18"/>
    <x v="3"/>
    <s v="Friday"/>
    <d v="2025-05-02T00:00:00"/>
    <n v="6"/>
    <x v="385"/>
    <x v="2"/>
    <x v="2"/>
    <s v="Asked SP to contact advertiser support"/>
    <x v="1"/>
  </r>
  <r>
    <n v="18"/>
    <x v="3"/>
    <s v="Friday"/>
    <d v="2025-05-02T00:00:00"/>
    <n v="7"/>
    <x v="386"/>
    <x v="2"/>
    <x v="1"/>
    <s v="Send inventory from Egypt to UAE"/>
    <x v="1"/>
  </r>
  <r>
    <n v="18"/>
    <x v="3"/>
    <s v="Friday"/>
    <d v="2025-05-02T00:00:00"/>
    <n v="8"/>
    <x v="387"/>
    <x v="1"/>
    <x v="2"/>
    <s v="E8566"/>
    <x v="0"/>
  </r>
  <r>
    <n v="18"/>
    <x v="3"/>
    <s v="Friday"/>
    <d v="2025-05-02T00:00:00"/>
    <n v="9"/>
    <x v="388"/>
    <x v="2"/>
    <x v="1"/>
    <s v="Orders"/>
    <x v="1"/>
  </r>
  <r>
    <n v="18"/>
    <x v="3"/>
    <s v="Friday"/>
    <d v="2025-05-02T00:00:00"/>
    <n v="10"/>
    <x v="389"/>
    <x v="1"/>
    <x v="2"/>
    <s v="LOA"/>
    <x v="1"/>
  </r>
  <r>
    <n v="18"/>
    <x v="3"/>
    <s v="Friday"/>
    <d v="2025-05-02T00:00:00"/>
    <n v="11"/>
    <x v="390"/>
    <x v="0"/>
    <x v="0"/>
    <s v="DE"/>
    <x v="0"/>
  </r>
  <r>
    <n v="18"/>
    <x v="3"/>
    <s v="Friday"/>
    <d v="2025-05-02T00:00:00"/>
    <n v="12"/>
    <x v="391"/>
    <x v="1"/>
    <x v="1"/>
    <s v="Referral fee"/>
    <x v="1"/>
  </r>
  <r>
    <n v="18"/>
    <x v="3"/>
    <s v="Friday"/>
    <d v="2025-05-02T00:00:00"/>
    <n v="13"/>
    <x v="392"/>
    <x v="2"/>
    <x v="0"/>
    <s v="Item Ineligible"/>
    <x v="0"/>
  </r>
  <r>
    <n v="18"/>
    <x v="3"/>
    <s v="Friday"/>
    <d v="2025-05-02T00:00:00"/>
    <n v="14"/>
    <x v="391"/>
    <x v="3"/>
    <x v="1"/>
    <s v="Added follow up"/>
    <x v="1"/>
  </r>
  <r>
    <n v="18"/>
    <x v="3"/>
    <s v="Friday"/>
    <d v="2025-05-02T00:00:00"/>
    <n v="15"/>
    <x v="393"/>
    <x v="2"/>
    <x v="0"/>
    <s v="Item Ineligible"/>
    <x v="1"/>
  </r>
  <r>
    <n v="18"/>
    <x v="3"/>
    <s v="Friday"/>
    <d v="2025-05-02T00:00:00"/>
    <n v="16"/>
    <x v="394"/>
    <x v="2"/>
    <x v="1"/>
    <s v="Removal Order"/>
    <x v="1"/>
  </r>
  <r>
    <n v="18"/>
    <x v="3"/>
    <s v="Friday"/>
    <d v="2025-05-02T00:00:00"/>
    <n v="17"/>
    <x v="395"/>
    <x v="2"/>
    <x v="1"/>
    <s v="Defective units"/>
    <x v="0"/>
  </r>
  <r>
    <n v="18"/>
    <x v="3"/>
    <s v="Friday"/>
    <d v="2025-05-02T00:00:00"/>
    <n v="18"/>
    <x v="396"/>
    <x v="3"/>
    <x v="0"/>
    <s v="Open TT"/>
    <x v="1"/>
  </r>
  <r>
    <n v="18"/>
    <x v="3"/>
    <s v="Friday"/>
    <d v="2025-05-02T00:00:00"/>
    <n v="19"/>
    <x v="397"/>
    <x v="2"/>
    <x v="0"/>
    <s v="Reimbursed"/>
    <x v="1"/>
  </r>
  <r>
    <n v="18"/>
    <x v="3"/>
    <s v="Friday"/>
    <d v="2025-05-02T00:00:00"/>
    <n v="20"/>
    <x v="398"/>
    <x v="2"/>
    <x v="2"/>
    <s v="Report a violation"/>
    <x v="0"/>
  </r>
  <r>
    <n v="6"/>
    <x v="1"/>
    <s v="Thursday"/>
    <d v="2025-02-06T00:00:00"/>
    <n v="1"/>
    <x v="399"/>
    <x v="2"/>
    <x v="0"/>
    <s v="Shipment over 6 months"/>
    <x v="1"/>
  </r>
  <r>
    <n v="23"/>
    <x v="4"/>
    <s v="Monday"/>
    <d v="2025-06-02T00:00:00"/>
    <n v="2"/>
    <x v="400"/>
    <x v="0"/>
    <x v="2"/>
    <s v="VAT"/>
    <x v="1"/>
  </r>
  <r>
    <n v="23"/>
    <x v="4"/>
    <s v="Monday"/>
    <d v="2025-06-02T00:00:00"/>
    <n v="3"/>
    <x v="401"/>
    <x v="2"/>
    <x v="2"/>
    <s v="MFN"/>
    <x v="1"/>
  </r>
  <r>
    <n v="23"/>
    <x v="4"/>
    <s v="Monday"/>
    <d v="2025-06-02T00:00:00"/>
    <n v="4"/>
    <x v="402"/>
    <x v="2"/>
    <x v="1"/>
    <s v="WD"/>
    <x v="1"/>
  </r>
  <r>
    <n v="23"/>
    <x v="4"/>
    <s v="Monday"/>
    <d v="2025-06-02T00:00:00"/>
    <n v="5"/>
    <x v="403"/>
    <x v="1"/>
    <x v="2"/>
    <s v="Add a product"/>
    <x v="0"/>
  </r>
  <r>
    <n v="23"/>
    <x v="4"/>
    <s v="Monday"/>
    <d v="2025-06-02T00:00:00"/>
    <n v="6"/>
    <x v="404"/>
    <x v="3"/>
    <x v="0"/>
    <s v="Open TT"/>
    <x v="1"/>
  </r>
  <r>
    <n v="23"/>
    <x v="4"/>
    <s v="Monday"/>
    <d v="2025-06-02T00:00:00"/>
    <n v="7"/>
    <x v="405"/>
    <x v="2"/>
    <x v="2"/>
    <s v="SIV"/>
    <x v="1"/>
  </r>
  <r>
    <n v="23"/>
    <x v="4"/>
    <s v="Monday"/>
    <d v="2025-06-02T00:00:00"/>
    <n v="8"/>
    <x v="406"/>
    <x v="2"/>
    <x v="0"/>
    <s v="Reimbursed"/>
    <x v="1"/>
  </r>
  <r>
    <n v="23"/>
    <x v="4"/>
    <s v="Monday"/>
    <d v="2025-06-02T00:00:00"/>
    <n v="9"/>
    <x v="407"/>
    <x v="4"/>
    <x v="2"/>
    <s v="Add a product"/>
    <x v="0"/>
  </r>
  <r>
    <n v="23"/>
    <x v="4"/>
    <s v="Monday"/>
    <d v="2025-06-02T00:00:00"/>
    <n v="10"/>
    <x v="408"/>
    <x v="1"/>
    <x v="0"/>
    <s v="Invoice"/>
    <x v="1"/>
  </r>
  <r>
    <n v="23"/>
    <x v="4"/>
    <s v="Monday"/>
    <d v="2025-06-02T00:00:00"/>
    <n v="11"/>
    <x v="409"/>
    <x v="2"/>
    <x v="2"/>
    <s v="Safe-T claim"/>
    <x v="1"/>
  </r>
  <r>
    <n v="23"/>
    <x v="4"/>
    <s v="Monday"/>
    <d v="2025-06-02T00:00:00"/>
    <n v="12"/>
    <x v="410"/>
    <x v="2"/>
    <x v="0"/>
    <s v="Contents tab"/>
    <x v="1"/>
  </r>
  <r>
    <n v="23"/>
    <x v="4"/>
    <s v="Monday"/>
    <d v="2025-06-02T00:00:00"/>
    <n v="13"/>
    <x v="411"/>
    <x v="2"/>
    <x v="2"/>
    <s v="Unavailable balance"/>
    <x v="0"/>
  </r>
  <r>
    <n v="23"/>
    <x v="4"/>
    <s v="Monday"/>
    <d v="2025-06-02T00:00:00"/>
    <n v="14"/>
    <x v="403"/>
    <x v="2"/>
    <x v="2"/>
    <s v="E5886"/>
    <x v="1"/>
  </r>
  <r>
    <n v="23"/>
    <x v="4"/>
    <s v="Monday"/>
    <d v="2025-06-02T00:00:00"/>
    <n v="15"/>
    <x v="412"/>
    <x v="3"/>
    <x v="1"/>
    <s v="WD"/>
    <x v="1"/>
  </r>
  <r>
    <n v="23"/>
    <x v="4"/>
    <s v="Monday"/>
    <d v="2025-06-02T00:00:00"/>
    <n v="16"/>
    <x v="413"/>
    <x v="3"/>
    <x v="1"/>
    <s v="LPN number"/>
    <x v="0"/>
  </r>
  <r>
    <n v="23"/>
    <x v="4"/>
    <s v="Monday"/>
    <d v="2025-06-02T00:00:00"/>
    <n v="17"/>
    <x v="392"/>
    <x v="0"/>
    <x v="0"/>
    <s v="*ILAC"/>
    <x v="1"/>
  </r>
  <r>
    <n v="23"/>
    <x v="4"/>
    <s v="Monday"/>
    <d v="2025-06-02T00:00:00"/>
    <n v="18"/>
    <x v="414"/>
    <x v="2"/>
    <x v="2"/>
    <s v="External Transfer"/>
    <x v="0"/>
  </r>
  <r>
    <n v="23"/>
    <x v="4"/>
    <s v="Monday"/>
    <d v="2025-06-02T00:00:00"/>
    <n v="19"/>
    <x v="415"/>
    <x v="2"/>
    <x v="2"/>
    <s v="E5461"/>
    <x v="1"/>
  </r>
  <r>
    <n v="23"/>
    <x v="4"/>
    <s v="Monday"/>
    <d v="2025-06-02T00:00:00"/>
    <n v="20"/>
    <x v="416"/>
    <x v="0"/>
    <x v="1"/>
    <s v="Removal Order"/>
    <x v="1"/>
  </r>
  <r>
    <n v="23"/>
    <x v="4"/>
    <s v="Monday"/>
    <d v="2025-06-02T00:00:00"/>
    <n v="21"/>
    <x v="417"/>
    <x v="1"/>
    <x v="1"/>
    <s v="Research why a FC cannot be found for a product"/>
    <x v="1"/>
  </r>
  <r>
    <n v="23"/>
    <x v="4"/>
    <s v="Monday"/>
    <d v="2025-06-02T00:00:00"/>
    <n v="22"/>
    <x v="418"/>
    <x v="2"/>
    <x v="1"/>
    <s v="Removal Order"/>
    <x v="1"/>
  </r>
  <r>
    <n v="23"/>
    <x v="4"/>
    <s v="Monday"/>
    <d v="2025-06-02T00:00:00"/>
    <n v="23"/>
    <x v="419"/>
    <x v="1"/>
    <x v="0"/>
    <s v="Invoice"/>
    <x v="1"/>
  </r>
  <r>
    <n v="23"/>
    <x v="4"/>
    <s v="Monday"/>
    <d v="2025-06-02T00:00:00"/>
    <n v="24"/>
    <x v="420"/>
    <x v="2"/>
    <x v="2"/>
    <s v="Account closure"/>
    <x v="1"/>
  </r>
  <r>
    <n v="6"/>
    <x v="1"/>
    <s v="Friday"/>
    <d v="2025-02-07T00:00:00"/>
    <n v="1"/>
    <x v="421"/>
    <x v="0"/>
    <x v="0"/>
    <s v="FBA"/>
    <x v="1"/>
  </r>
  <r>
    <n v="27"/>
    <x v="5"/>
    <s v="Wednesday"/>
    <d v="2025-07-02T00:00:00"/>
    <n v="2"/>
    <x v="422"/>
    <x v="1"/>
    <x v="0"/>
    <s v="Req info"/>
    <x v="1"/>
  </r>
  <r>
    <n v="27"/>
    <x v="5"/>
    <s v="Wednesday"/>
    <d v="2025-07-02T00:00:00"/>
    <n v="3"/>
    <x v="423"/>
    <x v="2"/>
    <x v="1"/>
    <s v="Lost inventory"/>
    <x v="1"/>
  </r>
  <r>
    <n v="27"/>
    <x v="5"/>
    <s v="Wednesday"/>
    <d v="2025-07-02T00:00:00"/>
    <n v="4"/>
    <x v="424"/>
    <x v="2"/>
    <x v="1"/>
    <s v="Removal Order"/>
    <x v="1"/>
  </r>
  <r>
    <n v="27"/>
    <x v="5"/>
    <s v="Wednesday"/>
    <d v="2025-07-02T00:00:00"/>
    <n v="5"/>
    <x v="425"/>
    <x v="0"/>
    <x v="1"/>
    <s v="*SA"/>
    <x v="1"/>
  </r>
  <r>
    <n v="27"/>
    <x v="5"/>
    <s v="Wednesday"/>
    <d v="2025-07-02T00:00:00"/>
    <n v="6"/>
    <x v="426"/>
    <x v="2"/>
    <x v="1"/>
    <s v="Orders"/>
    <x v="1"/>
  </r>
  <r>
    <n v="27"/>
    <x v="5"/>
    <s v="Wednesday"/>
    <d v="2025-07-02T00:00:00"/>
    <n v="7"/>
    <x v="427"/>
    <x v="2"/>
    <x v="2"/>
    <s v="Add a product"/>
    <x v="1"/>
  </r>
  <r>
    <n v="27"/>
    <x v="5"/>
    <s v="Wednesday"/>
    <d v="2025-07-02T00:00:00"/>
    <n v="8"/>
    <x v="428"/>
    <x v="1"/>
    <x v="1"/>
    <s v="Distributor Damaged"/>
    <x v="0"/>
  </r>
  <r>
    <n v="27"/>
    <x v="5"/>
    <s v="Wednesday"/>
    <d v="2025-07-02T00:00:00"/>
    <n v="9"/>
    <x v="429"/>
    <x v="2"/>
    <x v="1"/>
    <s v="Orders"/>
    <x v="1"/>
  </r>
  <r>
    <n v="27"/>
    <x v="5"/>
    <s v="Wednesday"/>
    <d v="2025-07-02T00:00:00"/>
    <n v="10"/>
    <x v="236"/>
    <x v="3"/>
    <x v="1"/>
    <s v="Open TT"/>
    <x v="0"/>
  </r>
  <r>
    <n v="27"/>
    <x v="5"/>
    <s v="Wednesday"/>
    <d v="2025-07-02T00:00:00"/>
    <n v="11"/>
    <x v="430"/>
    <x v="2"/>
    <x v="0"/>
    <s v="Prohibited items"/>
    <x v="1"/>
  </r>
  <r>
    <n v="27"/>
    <x v="5"/>
    <s v="Wednesday"/>
    <d v="2025-07-02T00:00:00"/>
    <n v="12"/>
    <x v="431"/>
    <x v="2"/>
    <x v="1"/>
    <s v="Removal Order"/>
    <x v="1"/>
  </r>
  <r>
    <n v="27"/>
    <x v="5"/>
    <s v="Wednesday"/>
    <d v="2025-07-02T00:00:00"/>
    <n v="13"/>
    <x v="432"/>
    <x v="1"/>
    <x v="1"/>
    <s v="Easyship "/>
    <x v="1"/>
  </r>
  <r>
    <n v="27"/>
    <x v="5"/>
    <s v="Wednesday"/>
    <d v="2025-07-02T00:00:00"/>
    <n v="14"/>
    <x v="433"/>
    <x v="2"/>
    <x v="1"/>
    <s v="Book an appointment"/>
    <x v="1"/>
  </r>
  <r>
    <n v="27"/>
    <x v="5"/>
    <s v="Wednesday"/>
    <d v="2025-07-02T00:00:00"/>
    <n v="15"/>
    <x v="434"/>
    <x v="0"/>
    <x v="1"/>
    <s v="IIDP"/>
    <x v="0"/>
  </r>
  <r>
    <n v="27"/>
    <x v="5"/>
    <s v="Wednesday"/>
    <d v="2025-07-02T00:00:00"/>
    <n v="16"/>
    <x v="435"/>
    <x v="4"/>
    <x v="2"/>
    <s v="Add a product"/>
    <x v="0"/>
  </r>
  <r>
    <n v="27"/>
    <x v="5"/>
    <s v="Wednesday"/>
    <d v="2025-07-02T00:00:00"/>
    <n v="17"/>
    <x v="436"/>
    <x v="2"/>
    <x v="1"/>
    <s v="Deals"/>
    <x v="1"/>
  </r>
  <r>
    <n v="27"/>
    <x v="5"/>
    <s v="Wednesday"/>
    <d v="2025-07-02T00:00:00"/>
    <n v="18"/>
    <x v="437"/>
    <x v="0"/>
    <x v="1"/>
    <s v="FFTD"/>
    <x v="0"/>
  </r>
  <r>
    <n v="27"/>
    <x v="5"/>
    <s v="Wednesday"/>
    <d v="2025-07-02T00:00:00"/>
    <n v="19"/>
    <x v="438"/>
    <x v="2"/>
    <x v="1"/>
    <s v="Damaged inventory"/>
    <x v="1"/>
  </r>
  <r>
    <n v="27"/>
    <x v="5"/>
    <s v="Wednesday"/>
    <d v="2025-07-02T00:00:00"/>
    <n v="20"/>
    <x v="439"/>
    <x v="0"/>
    <x v="1"/>
    <s v="Multiple identifiers"/>
    <x v="1"/>
  </r>
  <r>
    <n v="27"/>
    <x v="5"/>
    <s v="Wednesday"/>
    <d v="2025-07-02T00:00:00"/>
    <n v="21"/>
    <x v="440"/>
    <x v="0"/>
    <x v="1"/>
    <s v="WF auto transfer"/>
    <x v="1"/>
  </r>
  <r>
    <n v="27"/>
    <x v="5"/>
    <s v="Wednesday"/>
    <d v="2025-07-02T00:00:00"/>
    <n v="22"/>
    <x v="441"/>
    <x v="1"/>
    <x v="0"/>
    <s v="POD"/>
    <x v="1"/>
  </r>
  <r>
    <n v="27"/>
    <x v="5"/>
    <s v="Wednesday"/>
    <d v="2025-07-02T00:00:00"/>
    <n v="23"/>
    <x v="442"/>
    <x v="2"/>
    <x v="1"/>
    <s v="Removal Order"/>
    <x v="1"/>
  </r>
  <r>
    <n v="27"/>
    <x v="5"/>
    <s v="Wednesday"/>
    <d v="2025-07-02T00:00:00"/>
    <n v="24"/>
    <x v="443"/>
    <x v="3"/>
    <x v="1"/>
    <s v="Unable to create removal order"/>
    <x v="1"/>
  </r>
  <r>
    <n v="27"/>
    <x v="5"/>
    <s v="Wednesday"/>
    <d v="2025-07-02T00:00:00"/>
    <n v="25"/>
    <x v="444"/>
    <x v="2"/>
    <x v="1"/>
    <s v="Inventory reports"/>
    <x v="1"/>
  </r>
  <r>
    <n v="27"/>
    <x v="5"/>
    <s v="Wednesday"/>
    <d v="2025-07-02T00:00:00"/>
    <n v="26"/>
    <x v="445"/>
    <x v="2"/>
    <x v="1"/>
    <s v="Damaged inventory"/>
    <x v="1"/>
  </r>
  <r>
    <n v="7"/>
    <x v="1"/>
    <s v="Tuesday"/>
    <d v="2025-02-11T00:00:00"/>
    <n v="1"/>
    <x v="446"/>
    <x v="0"/>
    <x v="2"/>
    <s v="ILAC"/>
    <x v="1"/>
  </r>
  <r>
    <n v="45"/>
    <x v="6"/>
    <s v="Sunday"/>
    <d v="2025-11-02T00:00:00"/>
    <n v="2"/>
    <x v="447"/>
    <x v="1"/>
    <x v="2"/>
    <s v="Report a violation"/>
    <x v="1"/>
  </r>
  <r>
    <n v="45"/>
    <x v="6"/>
    <s v="Sunday"/>
    <d v="2025-11-02T00:00:00"/>
    <n v="3"/>
    <x v="448"/>
    <x v="2"/>
    <x v="1"/>
    <s v="Cancel order"/>
    <x v="1"/>
  </r>
  <r>
    <n v="45"/>
    <x v="6"/>
    <s v="Sunday"/>
    <d v="2025-11-02T00:00:00"/>
    <n v="4"/>
    <x v="449"/>
    <x v="2"/>
    <x v="1"/>
    <s v="Removal Order"/>
    <x v="0"/>
  </r>
  <r>
    <n v="45"/>
    <x v="6"/>
    <s v="Sunday"/>
    <d v="2025-11-02T00:00:00"/>
    <n v="5"/>
    <x v="450"/>
    <x v="3"/>
    <x v="0"/>
    <s v="Open TT"/>
    <x v="1"/>
  </r>
  <r>
    <n v="45"/>
    <x v="6"/>
    <s v="Sunday"/>
    <d v="2025-11-02T00:00:00"/>
    <n v="6"/>
    <x v="451"/>
    <x v="2"/>
    <x v="2"/>
    <s v="99 case"/>
    <x v="1"/>
  </r>
  <r>
    <n v="45"/>
    <x v="6"/>
    <s v="Sunday"/>
    <d v="2025-11-02T00:00:00"/>
    <n v="7"/>
    <x v="452"/>
    <x v="3"/>
    <x v="1"/>
    <s v="Open TT"/>
    <x v="1"/>
  </r>
  <r>
    <n v="45"/>
    <x v="6"/>
    <s v="Sunday"/>
    <d v="2025-11-02T00:00:00"/>
    <n v="8"/>
    <x v="453"/>
    <x v="0"/>
    <x v="1"/>
    <s v="CN"/>
    <x v="1"/>
  </r>
  <r>
    <n v="45"/>
    <x v="6"/>
    <s v="Sunday"/>
    <d v="2025-11-02T00:00:00"/>
    <n v="9"/>
    <x v="454"/>
    <x v="2"/>
    <x v="0"/>
    <s v="Contents tab"/>
    <x v="1"/>
  </r>
  <r>
    <n v="45"/>
    <x v="6"/>
    <s v="Sunday"/>
    <d v="2025-11-02T00:00:00"/>
    <n v="10"/>
    <x v="455"/>
    <x v="3"/>
    <x v="1"/>
    <s v="Open TT"/>
    <x v="0"/>
  </r>
  <r>
    <n v="45"/>
    <x v="6"/>
    <s v="Sunday"/>
    <d v="2025-11-02T00:00:00"/>
    <n v="11"/>
    <x v="456"/>
    <x v="2"/>
    <x v="1"/>
    <s v="Removal Order"/>
    <x v="1"/>
  </r>
  <r>
    <n v="45"/>
    <x v="6"/>
    <s v="Sunday"/>
    <d v="2025-11-02T00:00:00"/>
    <n v="12"/>
    <x v="457"/>
    <x v="0"/>
    <x v="0"/>
    <s v="CN"/>
    <x v="1"/>
  </r>
  <r>
    <n v="45"/>
    <x v="6"/>
    <s v="Sunday"/>
    <d v="2025-11-02T00:00:00"/>
    <n v="13"/>
    <x v="458"/>
    <x v="2"/>
    <x v="1"/>
    <s v="Removal Order"/>
    <x v="1"/>
  </r>
  <r>
    <n v="45"/>
    <x v="6"/>
    <s v="Sunday"/>
    <d v="2025-11-02T00:00:00"/>
    <n v="14"/>
    <x v="459"/>
    <x v="3"/>
    <x v="1"/>
    <s v="Open TT"/>
    <x v="1"/>
  </r>
  <r>
    <n v="45"/>
    <x v="6"/>
    <s v="Sunday"/>
    <d v="2025-11-02T00:00:00"/>
    <n v="15"/>
    <x v="460"/>
    <x v="0"/>
    <x v="2"/>
    <s v="Account closure"/>
    <x v="1"/>
  </r>
  <r>
    <n v="45"/>
    <x v="6"/>
    <s v="Sunday"/>
    <d v="2025-11-02T00:00:00"/>
    <n v="16"/>
    <x v="461"/>
    <x v="2"/>
    <x v="1"/>
    <s v="VAT"/>
    <x v="0"/>
  </r>
  <r>
    <n v="45"/>
    <x v="6"/>
    <s v="Sunday"/>
    <d v="2025-11-02T00:00:00"/>
    <n v="17"/>
    <x v="462"/>
    <x v="2"/>
    <x v="1"/>
    <s v="WD"/>
    <x v="1"/>
  </r>
  <r>
    <n v="45"/>
    <x v="6"/>
    <s v="Sunday"/>
    <d v="2025-11-02T00:00:00"/>
    <n v="18"/>
    <x v="463"/>
    <x v="2"/>
    <x v="2"/>
    <s v="Add a product"/>
    <x v="1"/>
  </r>
  <r>
    <n v="45"/>
    <x v="6"/>
    <s v="Sunday"/>
    <d v="2025-11-02T00:00:00"/>
    <n v="19"/>
    <x v="464"/>
    <x v="4"/>
    <x v="2"/>
    <s v="Campaign"/>
    <x v="0"/>
  </r>
  <r>
    <n v="45"/>
    <x v="6"/>
    <s v="Sunday"/>
    <d v="2025-11-02T00:00:00"/>
    <n v="20"/>
    <x v="465"/>
    <x v="2"/>
    <x v="0"/>
    <s v="Contents tab"/>
    <x v="1"/>
  </r>
  <r>
    <n v="45"/>
    <x v="6"/>
    <s v="Sunday"/>
    <d v="2025-11-02T00:00:00"/>
    <n v="21"/>
    <x v="466"/>
    <x v="2"/>
    <x v="1"/>
    <s v="Removal Order"/>
    <x v="1"/>
  </r>
  <r>
    <n v="45"/>
    <x v="6"/>
    <s v="Sunday"/>
    <d v="2025-11-02T00:00:00"/>
    <n v="22"/>
    <x v="358"/>
    <x v="3"/>
    <x v="1"/>
    <s v="Removal Order"/>
    <x v="1"/>
  </r>
  <r>
    <n v="45"/>
    <x v="6"/>
    <s v="Sunday"/>
    <d v="2025-11-02T00:00:00"/>
    <n v="23"/>
    <x v="467"/>
    <x v="3"/>
    <x v="2"/>
    <s v="Open TT"/>
    <x v="1"/>
  </r>
  <r>
    <n v="45"/>
    <x v="6"/>
    <s v="Sunday"/>
    <d v="2025-11-02T00:00:00"/>
    <n v="24"/>
    <x v="468"/>
    <x v="2"/>
    <x v="2"/>
    <s v="Account closure"/>
    <x v="0"/>
  </r>
  <r>
    <n v="45"/>
    <x v="6"/>
    <s v="Sunday"/>
    <d v="2025-11-02T00:00:00"/>
    <n v="25"/>
    <x v="469"/>
    <x v="1"/>
    <x v="2"/>
    <s v="BP"/>
    <x v="1"/>
  </r>
  <r>
    <n v="45"/>
    <x v="6"/>
    <s v="Sunday"/>
    <d v="2025-11-02T00:00:00"/>
    <n v="26"/>
    <x v="470"/>
    <x v="1"/>
    <x v="0"/>
    <s v="POD"/>
    <x v="1"/>
  </r>
  <r>
    <n v="45"/>
    <x v="6"/>
    <s v="Sunday"/>
    <d v="2025-11-02T00:00:00"/>
    <n v="27"/>
    <x v="471"/>
    <x v="3"/>
    <x v="2"/>
    <s v="Late shipment rate"/>
    <x v="1"/>
  </r>
  <r>
    <n v="45"/>
    <x v="6"/>
    <s v="Sunday"/>
    <d v="2025-11-02T00:00:00"/>
    <n v="28"/>
    <x v="472"/>
    <x v="2"/>
    <x v="1"/>
    <s v="Removal Order"/>
    <x v="1"/>
  </r>
  <r>
    <n v="7"/>
    <x v="1"/>
    <s v="Wednesday"/>
    <d v="2025-02-12T00:00:00"/>
    <n v="1"/>
    <x v="473"/>
    <x v="2"/>
    <x v="1"/>
    <s v="Damaged inventory"/>
    <x v="0"/>
  </r>
  <r>
    <n v="49"/>
    <x v="7"/>
    <s v="Tuesday"/>
    <d v="2025-12-02T00:00:00"/>
    <n v="2"/>
    <x v="474"/>
    <x v="3"/>
    <x v="2"/>
    <s v="E8541"/>
    <x v="1"/>
  </r>
  <r>
    <n v="49"/>
    <x v="7"/>
    <s v="Tuesday"/>
    <d v="2025-12-02T00:00:00"/>
    <n v="3"/>
    <x v="475"/>
    <x v="2"/>
    <x v="1"/>
    <s v="WD"/>
    <x v="1"/>
  </r>
  <r>
    <n v="49"/>
    <x v="7"/>
    <s v="Tuesday"/>
    <d v="2025-12-02T00:00:00"/>
    <n v="4"/>
    <x v="476"/>
    <x v="0"/>
    <x v="2"/>
    <s v="IIDP"/>
    <x v="1"/>
  </r>
  <r>
    <n v="49"/>
    <x v="7"/>
    <s v="Tuesday"/>
    <d v="2025-12-02T00:00:00"/>
    <n v="5"/>
    <x v="477"/>
    <x v="2"/>
    <x v="1"/>
    <s v="Removal Order"/>
    <x v="1"/>
  </r>
  <r>
    <n v="49"/>
    <x v="7"/>
    <s v="Tuesday"/>
    <d v="2025-12-02T00:00:00"/>
    <n v="6"/>
    <x v="478"/>
    <x v="0"/>
    <x v="2"/>
    <s v="Feeds"/>
    <x v="1"/>
  </r>
  <r>
    <n v="49"/>
    <x v="7"/>
    <s v="Tuesday"/>
    <d v="2025-12-02T00:00:00"/>
    <n v="7"/>
    <x v="479"/>
    <x v="2"/>
    <x v="1"/>
    <s v="Grade RMS"/>
    <x v="0"/>
  </r>
  <r>
    <n v="49"/>
    <x v="7"/>
    <s v="Tuesday"/>
    <d v="2025-12-02T00:00:00"/>
    <n v="8"/>
    <x v="480"/>
    <x v="0"/>
    <x v="0"/>
    <s v="DE"/>
    <x v="1"/>
  </r>
  <r>
    <n v="49"/>
    <x v="7"/>
    <s v="Tuesday"/>
    <d v="2025-12-02T00:00:00"/>
    <n v="9"/>
    <x v="481"/>
    <x v="2"/>
    <x v="0"/>
    <s v="No discrepancy"/>
    <x v="1"/>
  </r>
  <r>
    <n v="49"/>
    <x v="7"/>
    <s v="Tuesday"/>
    <d v="2025-12-02T00:00:00"/>
    <n v="10"/>
    <x v="482"/>
    <x v="1"/>
    <x v="2"/>
    <s v="Req info"/>
    <x v="1"/>
  </r>
  <r>
    <n v="49"/>
    <x v="7"/>
    <s v="Tuesday"/>
    <d v="2025-12-02T00:00:00"/>
    <n v="11"/>
    <x v="483"/>
    <x v="0"/>
    <x v="0"/>
    <s v="CN"/>
    <x v="1"/>
  </r>
  <r>
    <n v="49"/>
    <x v="7"/>
    <s v="Tuesday"/>
    <d v="2025-12-02T00:00:00"/>
    <n v="12"/>
    <x v="484"/>
    <x v="2"/>
    <x v="1"/>
    <s v="Hazmat"/>
    <x v="1"/>
  </r>
  <r>
    <n v="49"/>
    <x v="7"/>
    <s v="Tuesday"/>
    <d v="2025-12-02T00:00:00"/>
    <n v="13"/>
    <x v="485"/>
    <x v="3"/>
    <x v="1"/>
    <s v="Open TT"/>
    <x v="1"/>
  </r>
  <r>
    <n v="49"/>
    <x v="7"/>
    <s v="Tuesday"/>
    <d v="2025-12-02T00:00:00"/>
    <n v="14"/>
    <x v="486"/>
    <x v="2"/>
    <x v="1"/>
    <s v="Sold listing report"/>
    <x v="1"/>
  </r>
  <r>
    <n v="49"/>
    <x v="7"/>
    <s v="Tuesday"/>
    <d v="2025-12-02T00:00:00"/>
    <n v="15"/>
    <x v="487"/>
    <x v="2"/>
    <x v="2"/>
    <s v="GPSR"/>
    <x v="1"/>
  </r>
  <r>
    <n v="49"/>
    <x v="7"/>
    <s v="Tuesday"/>
    <d v="2025-12-02T00:00:00"/>
    <n v="16"/>
    <x v="488"/>
    <x v="1"/>
    <x v="2"/>
    <s v="Req info"/>
    <x v="1"/>
  </r>
  <r>
    <n v="49"/>
    <x v="7"/>
    <s v="Tuesday"/>
    <d v="2025-12-02T00:00:00"/>
    <n v="17"/>
    <x v="489"/>
    <x v="3"/>
    <x v="1"/>
    <s v="Open TT"/>
    <x v="0"/>
  </r>
  <r>
    <n v="49"/>
    <x v="7"/>
    <s v="Tuesday"/>
    <d v="2025-12-02T00:00:00"/>
    <n v="18"/>
    <x v="490"/>
    <x v="2"/>
    <x v="1"/>
    <s v="Storage Fee"/>
    <x v="0"/>
  </r>
  <r>
    <n v="49"/>
    <x v="7"/>
    <s v="Tuesday"/>
    <d v="2025-12-02T00:00:00"/>
    <n v="19"/>
    <x v="491"/>
    <x v="2"/>
    <x v="1"/>
    <s v="Partnered carrier option missing"/>
    <x v="1"/>
  </r>
  <r>
    <n v="49"/>
    <x v="7"/>
    <s v="Tuesday"/>
    <d v="2025-12-02T00:00:00"/>
    <n v="20"/>
    <x v="492"/>
    <x v="2"/>
    <x v="0"/>
    <s v="Reimbursed"/>
    <x v="1"/>
  </r>
  <r>
    <n v="49"/>
    <x v="7"/>
    <s v="Tuesday"/>
    <d v="2025-12-02T00:00:00"/>
    <n v="21"/>
    <x v="493"/>
    <x v="1"/>
    <x v="0"/>
    <s v="Invoice"/>
    <x v="1"/>
  </r>
  <r>
    <n v="49"/>
    <x v="7"/>
    <s v="Tuesday"/>
    <d v="2025-12-02T00:00:00"/>
    <n v="22"/>
    <x v="494"/>
    <x v="2"/>
    <x v="1"/>
    <s v="Lost inventory"/>
    <x v="1"/>
  </r>
  <r>
    <n v="49"/>
    <x v="7"/>
    <s v="Tuesday"/>
    <d v="2025-12-02T00:00:00"/>
    <n v="23"/>
    <x v="495"/>
    <x v="3"/>
    <x v="1"/>
    <s v="Open TT"/>
    <x v="1"/>
  </r>
  <r>
    <n v="49"/>
    <x v="7"/>
    <s v="Tuesday"/>
    <d v="2025-12-02T00:00:00"/>
    <n v="24"/>
    <x v="496"/>
    <x v="0"/>
    <x v="0"/>
    <s v="HV"/>
    <x v="1"/>
  </r>
  <r>
    <n v="49"/>
    <x v="7"/>
    <s v="Tuesday"/>
    <d v="2025-12-02T00:00:00"/>
    <n v="25"/>
    <x v="459"/>
    <x v="2"/>
    <x v="1"/>
    <s v="Easyship "/>
    <x v="0"/>
  </r>
  <r>
    <n v="49"/>
    <x v="7"/>
    <s v="Tuesday"/>
    <d v="2025-12-02T00:00:00"/>
    <n v="26"/>
    <x v="497"/>
    <x v="0"/>
    <x v="0"/>
    <s v="HV"/>
    <x v="1"/>
  </r>
  <r>
    <n v="49"/>
    <x v="7"/>
    <s v="Tuesday"/>
    <d v="2025-12-02T00:00:00"/>
    <n v="27"/>
    <x v="498"/>
    <x v="2"/>
    <x v="1"/>
    <s v="Duplicate case"/>
    <x v="1"/>
  </r>
  <r>
    <n v="49"/>
    <x v="7"/>
    <s v="Tuesday"/>
    <d v="2025-12-02T00:00:00"/>
    <n v="28"/>
    <x v="499"/>
    <x v="2"/>
    <x v="1"/>
    <s v="Featured offer"/>
    <x v="1"/>
  </r>
  <r>
    <n v="49"/>
    <x v="7"/>
    <s v="Tuesday"/>
    <d v="2025-12-02T00:00:00"/>
    <n v="29"/>
    <x v="500"/>
    <x v="2"/>
    <x v="1"/>
    <s v="Lost inventory"/>
    <x v="1"/>
  </r>
  <r>
    <n v="7"/>
    <x v="1"/>
    <s v="Thursday"/>
    <d v="2025-02-13T00:00:00"/>
    <n v="1"/>
    <x v="501"/>
    <x v="2"/>
    <x v="2"/>
    <s v="Inactive listing"/>
    <x v="1"/>
  </r>
  <r>
    <n v="7"/>
    <x v="1"/>
    <s v="Thursday"/>
    <d v="2025-02-13T00:00:00"/>
    <n v="2"/>
    <x v="501"/>
    <x v="2"/>
    <x v="2"/>
    <s v="Report a violation"/>
    <x v="1"/>
  </r>
  <r>
    <n v="7"/>
    <x v="1"/>
    <s v="Thursday"/>
    <d v="2025-02-13T00:00:00"/>
    <n v="3"/>
    <x v="479"/>
    <x v="0"/>
    <x v="1"/>
    <s v="Alternate queue"/>
    <x v="1"/>
  </r>
  <r>
    <n v="7"/>
    <x v="1"/>
    <s v="Thursday"/>
    <d v="2025-02-13T00:00:00"/>
    <n v="4"/>
    <x v="502"/>
    <x v="1"/>
    <x v="2"/>
    <s v="Chat disconnected"/>
    <x v="1"/>
  </r>
  <r>
    <n v="7"/>
    <x v="1"/>
    <s v="Thursday"/>
    <d v="2025-02-13T00:00:00"/>
    <n v="5"/>
    <x v="503"/>
    <x v="2"/>
    <x v="2"/>
    <s v="Disbursement"/>
    <x v="0"/>
  </r>
  <r>
    <n v="7"/>
    <x v="1"/>
    <s v="Thursday"/>
    <d v="2025-02-13T00:00:00"/>
    <n v="6"/>
    <x v="504"/>
    <x v="2"/>
    <x v="1"/>
    <s v="Feedback removal req"/>
    <x v="1"/>
  </r>
  <r>
    <n v="7"/>
    <x v="1"/>
    <s v="Thursday"/>
    <d v="2025-02-13T00:00:00"/>
    <n v="7"/>
    <x v="505"/>
    <x v="0"/>
    <x v="0"/>
    <s v="DE"/>
    <x v="1"/>
  </r>
  <r>
    <n v="7"/>
    <x v="1"/>
    <s v="Thursday"/>
    <d v="2025-02-13T00:00:00"/>
    <n v="8"/>
    <x v="506"/>
    <x v="0"/>
    <x v="0"/>
    <s v="DE"/>
    <x v="1"/>
  </r>
  <r>
    <n v="7"/>
    <x v="1"/>
    <s v="Thursday"/>
    <d v="2025-02-13T00:00:00"/>
    <n v="9"/>
    <x v="507"/>
    <x v="1"/>
    <x v="2"/>
    <s v="Req info"/>
    <x v="1"/>
  </r>
  <r>
    <n v="7"/>
    <x v="1"/>
    <s v="Thursday"/>
    <d v="2025-02-13T00:00:00"/>
    <n v="10"/>
    <x v="508"/>
    <x v="2"/>
    <x v="1"/>
    <s v="Defective units"/>
    <x v="1"/>
  </r>
  <r>
    <n v="7"/>
    <x v="1"/>
    <s v="Thursday"/>
    <d v="2025-02-13T00:00:00"/>
    <n v="11"/>
    <x v="509"/>
    <x v="0"/>
    <x v="2"/>
    <s v="Ads"/>
    <x v="1"/>
  </r>
  <r>
    <n v="7"/>
    <x v="1"/>
    <s v="Thursday"/>
    <d v="2025-02-13T00:00:00"/>
    <n v="12"/>
    <x v="510"/>
    <x v="1"/>
    <x v="0"/>
    <s v="POD"/>
    <x v="1"/>
  </r>
  <r>
    <n v="7"/>
    <x v="1"/>
    <s v="Thursday"/>
    <d v="2025-02-13T00:00:00"/>
    <n v="13"/>
    <x v="511"/>
    <x v="2"/>
    <x v="2"/>
    <s v="User permission"/>
    <x v="1"/>
  </r>
  <r>
    <n v="7"/>
    <x v="1"/>
    <s v="Thursday"/>
    <d v="2025-02-13T00:00:00"/>
    <n v="14"/>
    <x v="512"/>
    <x v="2"/>
    <x v="2"/>
    <s v="Feedback removal req"/>
    <x v="1"/>
  </r>
  <r>
    <n v="7"/>
    <x v="1"/>
    <s v="Friday"/>
    <d v="2025-02-14T00:00:00"/>
    <n v="1"/>
    <x v="513"/>
    <x v="2"/>
    <x v="1"/>
    <s v="Removal Order"/>
    <x v="0"/>
  </r>
  <r>
    <n v="7"/>
    <x v="1"/>
    <s v="Friday"/>
    <d v="2025-02-14T00:00:00"/>
    <n v="2"/>
    <x v="514"/>
    <x v="3"/>
    <x v="1"/>
    <s v="WD"/>
    <x v="1"/>
  </r>
  <r>
    <n v="7"/>
    <x v="1"/>
    <s v="Friday"/>
    <d v="2025-02-14T00:00:00"/>
    <n v="3"/>
    <x v="515"/>
    <x v="3"/>
    <x v="1"/>
    <s v="Open TT"/>
    <x v="1"/>
  </r>
  <r>
    <n v="7"/>
    <x v="1"/>
    <s v="Friday"/>
    <d v="2025-02-14T00:00:00"/>
    <n v="4"/>
    <x v="516"/>
    <x v="2"/>
    <x v="1"/>
    <s v="Informed as per TT"/>
    <x v="1"/>
  </r>
  <r>
    <n v="7"/>
    <x v="1"/>
    <s v="Friday"/>
    <d v="2025-02-14T00:00:00"/>
    <n v="5"/>
    <x v="517"/>
    <x v="2"/>
    <x v="1"/>
    <s v="Receiving"/>
    <x v="1"/>
  </r>
  <r>
    <n v="7"/>
    <x v="1"/>
    <s v="Friday"/>
    <d v="2025-02-14T00:00:00"/>
    <n v="6"/>
    <x v="518"/>
    <x v="2"/>
    <x v="1"/>
    <s v="Label"/>
    <x v="1"/>
  </r>
  <r>
    <n v="7"/>
    <x v="1"/>
    <s v="Friday"/>
    <d v="2025-02-14T00:00:00"/>
    <n v="7"/>
    <x v="519"/>
    <x v="0"/>
    <x v="2"/>
    <s v="CN"/>
    <x v="1"/>
  </r>
  <r>
    <n v="7"/>
    <x v="1"/>
    <s v="Friday"/>
    <d v="2025-02-14T00:00:00"/>
    <n v="8"/>
    <x v="520"/>
    <x v="0"/>
    <x v="0"/>
    <s v="FbA"/>
    <x v="1"/>
  </r>
  <r>
    <n v="7"/>
    <x v="1"/>
    <s v="Friday"/>
    <d v="2025-02-14T00:00:00"/>
    <n v="9"/>
    <x v="252"/>
    <x v="3"/>
    <x v="1"/>
    <s v="Open TT"/>
    <x v="1"/>
  </r>
  <r>
    <n v="7"/>
    <x v="1"/>
    <s v="Friday"/>
    <d v="2025-02-14T00:00:00"/>
    <n v="10"/>
    <x v="521"/>
    <x v="2"/>
    <x v="1"/>
    <s v="Hazmat"/>
    <x v="1"/>
  </r>
  <r>
    <n v="7"/>
    <x v="1"/>
    <s v="Friday"/>
    <d v="2025-02-14T00:00:00"/>
    <n v="11"/>
    <x v="522"/>
    <x v="2"/>
    <x v="1"/>
    <s v="Easyship "/>
    <x v="0"/>
  </r>
  <r>
    <n v="7"/>
    <x v="1"/>
    <s v="Friday"/>
    <d v="2025-02-14T00:00:00"/>
    <n v="12"/>
    <x v="287"/>
    <x v="1"/>
    <x v="0"/>
    <s v="Req info"/>
    <x v="1"/>
  </r>
  <r>
    <n v="7"/>
    <x v="1"/>
    <s v="Friday"/>
    <d v="2025-02-14T00:00:00"/>
    <n v="13"/>
    <x v="523"/>
    <x v="1"/>
    <x v="0"/>
    <s v="Req info"/>
    <x v="1"/>
  </r>
  <r>
    <n v="7"/>
    <x v="1"/>
    <s v="Friday"/>
    <d v="2025-02-14T00:00:00"/>
    <n v="14"/>
    <x v="524"/>
    <x v="2"/>
    <x v="2"/>
    <s v="Safe-T claim"/>
    <x v="1"/>
  </r>
  <r>
    <n v="7"/>
    <x v="1"/>
    <s v="Friday"/>
    <d v="2025-02-14T00:00:00"/>
    <n v="15"/>
    <x v="525"/>
    <x v="0"/>
    <x v="0"/>
    <s v="HV"/>
    <x v="1"/>
  </r>
  <r>
    <n v="7"/>
    <x v="1"/>
    <s v="Friday"/>
    <d v="2025-02-14T00:00:00"/>
    <n v="16"/>
    <x v="526"/>
    <x v="4"/>
    <x v="0"/>
    <s v="Item Ineligible"/>
    <x v="1"/>
  </r>
  <r>
    <n v="7"/>
    <x v="1"/>
    <s v="Friday"/>
    <d v="2025-02-14T00:00:00"/>
    <n v="17"/>
    <x v="527"/>
    <x v="3"/>
    <x v="1"/>
    <s v="Open TT"/>
    <x v="0"/>
  </r>
  <r>
    <n v="7"/>
    <x v="1"/>
    <s v="Friday"/>
    <d v="2025-02-14T00:00:00"/>
    <n v="18"/>
    <x v="528"/>
    <x v="2"/>
    <x v="0"/>
    <s v="Shipment over 6 months"/>
    <x v="1"/>
  </r>
  <r>
    <n v="7"/>
    <x v="1"/>
    <s v="Friday"/>
    <d v="2025-02-14T00:00:00"/>
    <n v="19"/>
    <x v="529"/>
    <x v="3"/>
    <x v="1"/>
    <s v="Open TT"/>
    <x v="1"/>
  </r>
  <r>
    <n v="7"/>
    <x v="1"/>
    <s v="Friday"/>
    <d v="2025-02-14T00:00:00"/>
    <n v="20"/>
    <x v="530"/>
    <x v="3"/>
    <x v="1"/>
    <s v="Added follow up"/>
    <x v="0"/>
  </r>
  <r>
    <n v="7"/>
    <x v="1"/>
    <s v="Friday"/>
    <d v="2025-02-14T00:00:00"/>
    <n v="21"/>
    <x v="531"/>
    <x v="0"/>
    <x v="1"/>
    <s v="*AE"/>
    <x v="1"/>
  </r>
  <r>
    <n v="7"/>
    <x v="1"/>
    <s v="Friday"/>
    <d v="2025-02-14T00:00:00"/>
    <n v="22"/>
    <x v="532"/>
    <x v="3"/>
    <x v="1"/>
    <s v="Open TT"/>
    <x v="1"/>
  </r>
  <r>
    <n v="7"/>
    <x v="1"/>
    <s v="Friday"/>
    <d v="2025-02-14T00:00:00"/>
    <n v="23"/>
    <x v="533"/>
    <x v="2"/>
    <x v="2"/>
    <s v="Inactive listing"/>
    <x v="1"/>
  </r>
  <r>
    <n v="7"/>
    <x v="1"/>
    <s v="Friday"/>
    <d v="2025-02-14T00:00:00"/>
    <n v="24"/>
    <x v="534"/>
    <x v="1"/>
    <x v="0"/>
    <s v="POD"/>
    <x v="1"/>
  </r>
  <r>
    <n v="7"/>
    <x v="1"/>
    <s v="Friday"/>
    <d v="2025-02-14T00:00:00"/>
    <n v="25"/>
    <x v="535"/>
    <x v="3"/>
    <x v="1"/>
    <s v="Open TT"/>
    <x v="1"/>
  </r>
  <r>
    <n v="8"/>
    <x v="1"/>
    <s v="Tuesday"/>
    <d v="2025-02-18T00:00:00"/>
    <n v="1"/>
    <x v="536"/>
    <x v="2"/>
    <x v="1"/>
    <s v="Inactive listing"/>
    <x v="1"/>
  </r>
  <r>
    <n v="8"/>
    <x v="1"/>
    <s v="Tuesday"/>
    <d v="2025-02-18T00:00:00"/>
    <n v="2"/>
    <x v="537"/>
    <x v="2"/>
    <x v="1"/>
    <s v="Global selling"/>
    <x v="0"/>
  </r>
  <r>
    <n v="8"/>
    <x v="1"/>
    <s v="Tuesday"/>
    <d v="2025-02-18T00:00:00"/>
    <n v="3"/>
    <x v="538"/>
    <x v="2"/>
    <x v="2"/>
    <s v="Disbursement"/>
    <x v="1"/>
  </r>
  <r>
    <n v="8"/>
    <x v="1"/>
    <s v="Tuesday"/>
    <d v="2025-02-18T00:00:00"/>
    <n v="4"/>
    <x v="539"/>
    <x v="0"/>
    <x v="1"/>
    <s v="ILAC"/>
    <x v="1"/>
  </r>
  <r>
    <n v="8"/>
    <x v="1"/>
    <s v="Tuesday"/>
    <d v="2025-02-18T00:00:00"/>
    <n v="5"/>
    <x v="540"/>
    <x v="3"/>
    <x v="1"/>
    <s v="Reserved inventory"/>
    <x v="0"/>
  </r>
  <r>
    <n v="8"/>
    <x v="1"/>
    <s v="Tuesday"/>
    <d v="2025-02-18T00:00:00"/>
    <n v="6"/>
    <x v="538"/>
    <x v="0"/>
    <x v="2"/>
    <s v="Merchant credits team"/>
    <x v="1"/>
  </r>
  <r>
    <n v="8"/>
    <x v="1"/>
    <s v="Tuesday"/>
    <d v="2025-02-18T00:00:00"/>
    <n v="7"/>
    <x v="541"/>
    <x v="2"/>
    <x v="2"/>
    <s v="External Transfer"/>
    <x v="0"/>
  </r>
  <r>
    <n v="8"/>
    <x v="1"/>
    <s v="Tuesday"/>
    <d v="2025-02-18T00:00:00"/>
    <n v="8"/>
    <x v="542"/>
    <x v="1"/>
    <x v="0"/>
    <s v="Reopen req - shipment"/>
    <x v="1"/>
  </r>
  <r>
    <n v="8"/>
    <x v="1"/>
    <s v="Tuesday"/>
    <d v="2025-02-18T00:00:00"/>
    <n v="9"/>
    <x v="543"/>
    <x v="0"/>
    <x v="2"/>
    <s v="Feeds"/>
    <x v="1"/>
  </r>
  <r>
    <n v="8"/>
    <x v="1"/>
    <s v="Tuesday"/>
    <d v="2025-02-18T00:00:00"/>
    <n v="10"/>
    <x v="544"/>
    <x v="1"/>
    <x v="1"/>
    <s v="Removal Order"/>
    <x v="1"/>
  </r>
  <r>
    <n v="8"/>
    <x v="1"/>
    <s v="Tuesday"/>
    <d v="2025-02-18T00:00:00"/>
    <n v="11"/>
    <x v="545"/>
    <x v="0"/>
    <x v="1"/>
    <s v="BR support"/>
    <x v="1"/>
  </r>
  <r>
    <n v="8"/>
    <x v="1"/>
    <s v="Tuesday"/>
    <d v="2025-02-18T00:00:00"/>
    <n v="12"/>
    <x v="546"/>
    <x v="2"/>
    <x v="1"/>
    <s v="Removal Order"/>
    <x v="1"/>
  </r>
  <r>
    <n v="8"/>
    <x v="1"/>
    <s v="Tuesday"/>
    <d v="2025-02-18T00:00:00"/>
    <n v="13"/>
    <x v="547"/>
    <x v="0"/>
    <x v="2"/>
    <s v="Feeds"/>
    <x v="1"/>
  </r>
  <r>
    <n v="8"/>
    <x v="1"/>
    <s v="Tuesday"/>
    <d v="2025-02-18T00:00:00"/>
    <n v="14"/>
    <x v="548"/>
    <x v="2"/>
    <x v="2"/>
    <s v="Feedback removal req"/>
    <x v="0"/>
  </r>
  <r>
    <n v="8"/>
    <x v="1"/>
    <s v="Tuesday"/>
    <d v="2025-02-18T00:00:00"/>
    <n v="15"/>
    <x v="549"/>
    <x v="1"/>
    <x v="0"/>
    <s v="Invoice"/>
    <x v="1"/>
  </r>
  <r>
    <n v="8"/>
    <x v="1"/>
    <s v="Tuesday"/>
    <d v="2025-02-18T00:00:00"/>
    <n v="16"/>
    <x v="550"/>
    <x v="2"/>
    <x v="2"/>
    <s v="Account deactivated"/>
    <x v="1"/>
  </r>
  <r>
    <n v="8"/>
    <x v="1"/>
    <s v="Tuesday"/>
    <d v="2025-02-18T00:00:00"/>
    <n v="17"/>
    <x v="551"/>
    <x v="2"/>
    <x v="0"/>
    <s v="Contents tab"/>
    <x v="1"/>
  </r>
  <r>
    <n v="8"/>
    <x v="1"/>
    <s v="Tuesday"/>
    <d v="2025-02-18T00:00:00"/>
    <n v="18"/>
    <x v="552"/>
    <x v="2"/>
    <x v="1"/>
    <s v="Coupon"/>
    <x v="1"/>
  </r>
  <r>
    <n v="8"/>
    <x v="1"/>
    <s v="Tuesday"/>
    <d v="2025-02-18T00:00:00"/>
    <n v="19"/>
    <x v="553"/>
    <x v="1"/>
    <x v="0"/>
    <s v="BOL"/>
    <x v="1"/>
  </r>
  <r>
    <n v="8"/>
    <x v="1"/>
    <s v="Tuesday"/>
    <d v="2025-02-18T00:00:00"/>
    <n v="20"/>
    <x v="554"/>
    <x v="0"/>
    <x v="0"/>
    <s v="DE"/>
    <x v="1"/>
  </r>
  <r>
    <n v="8"/>
    <x v="1"/>
    <s v="Tuesday"/>
    <d v="2025-02-18T00:00:00"/>
    <n v="21"/>
    <x v="555"/>
    <x v="3"/>
    <x v="1"/>
    <s v="Open TT"/>
    <x v="1"/>
  </r>
  <r>
    <n v="8"/>
    <x v="1"/>
    <s v="Tuesday"/>
    <d v="2025-02-18T00:00:00"/>
    <n v="22"/>
    <x v="556"/>
    <x v="2"/>
    <x v="1"/>
    <s v="WD"/>
    <x v="1"/>
  </r>
  <r>
    <n v="8"/>
    <x v="1"/>
    <s v="Tuesday"/>
    <d v="2025-02-18T00:00:00"/>
    <n v="23"/>
    <x v="557"/>
    <x v="3"/>
    <x v="2"/>
    <s v="E5461"/>
    <x v="1"/>
  </r>
  <r>
    <n v="8"/>
    <x v="1"/>
    <s v="Tuesday"/>
    <d v="2025-02-18T00:00:00"/>
    <n v="24"/>
    <x v="558"/>
    <x v="2"/>
    <x v="2"/>
    <s v="Feedback removal req"/>
    <x v="1"/>
  </r>
  <r>
    <n v="8"/>
    <x v="1"/>
    <s v="Tuesday"/>
    <d v="2025-02-18T00:00:00"/>
    <n v="25"/>
    <x v="559"/>
    <x v="2"/>
    <x v="1"/>
    <s v="Removal Order"/>
    <x v="1"/>
  </r>
  <r>
    <n v="8"/>
    <x v="1"/>
    <s v="Tuesday"/>
    <d v="2025-02-18T00:00:00"/>
    <n v="26"/>
    <x v="560"/>
    <x v="3"/>
    <x v="1"/>
    <s v="Open TT"/>
    <x v="1"/>
  </r>
  <r>
    <n v="8"/>
    <x v="1"/>
    <s v="Tuesday"/>
    <d v="2025-02-18T00:00:00"/>
    <n v="27"/>
    <x v="561"/>
    <x v="2"/>
    <x v="0"/>
    <s v="Shipment over 6 months"/>
    <x v="1"/>
  </r>
  <r>
    <n v="8"/>
    <x v="1"/>
    <s v="Tuesday"/>
    <d v="2025-02-18T00:00:00"/>
    <n v="28"/>
    <x v="562"/>
    <x v="2"/>
    <x v="2"/>
    <s v="Orders"/>
    <x v="0"/>
  </r>
  <r>
    <n v="8"/>
    <x v="1"/>
    <s v="Tuesday"/>
    <d v="2025-02-18T00:00:00"/>
    <n v="29"/>
    <x v="563"/>
    <x v="3"/>
    <x v="2"/>
    <s v="Open TT"/>
    <x v="1"/>
  </r>
  <r>
    <n v="8"/>
    <x v="1"/>
    <s v="Tuesday"/>
    <d v="2025-02-18T00:00:00"/>
    <n v="30"/>
    <x v="564"/>
    <x v="0"/>
    <x v="1"/>
    <s v="VCS"/>
    <x v="1"/>
  </r>
  <r>
    <n v="8"/>
    <x v="1"/>
    <s v="Tuesday"/>
    <d v="2025-02-18T00:00:00"/>
    <n v="31"/>
    <x v="565"/>
    <x v="1"/>
    <x v="0"/>
    <s v="BOL"/>
    <x v="1"/>
  </r>
  <r>
    <n v="8"/>
    <x v="1"/>
    <s v="Wednesday"/>
    <d v="2025-02-19T00:00:00"/>
    <n v="1"/>
    <x v="566"/>
    <x v="1"/>
    <x v="1"/>
    <s v="Req info"/>
    <x v="1"/>
  </r>
  <r>
    <n v="8"/>
    <x v="1"/>
    <s v="Wednesday"/>
    <d v="2025-02-19T00:00:00"/>
    <n v="2"/>
    <x v="567"/>
    <x v="2"/>
    <x v="1"/>
    <s v="Inactive listing"/>
    <x v="0"/>
  </r>
  <r>
    <n v="8"/>
    <x v="1"/>
    <s v="Wednesday"/>
    <d v="2025-02-19T00:00:00"/>
    <n v="3"/>
    <x v="568"/>
    <x v="3"/>
    <x v="1"/>
    <s v="Cannot create shipment"/>
    <x v="1"/>
  </r>
  <r>
    <n v="8"/>
    <x v="1"/>
    <s v="Wednesday"/>
    <d v="2025-02-19T00:00:00"/>
    <n v="4"/>
    <x v="569"/>
    <x v="3"/>
    <x v="1"/>
    <s v="Unable to create removal order"/>
    <x v="1"/>
  </r>
  <r>
    <n v="8"/>
    <x v="1"/>
    <s v="Wednesday"/>
    <d v="2025-02-19T00:00:00"/>
    <n v="5"/>
    <x v="570"/>
    <x v="0"/>
    <x v="2"/>
    <s v="ILAC"/>
    <x v="1"/>
  </r>
  <r>
    <n v="8"/>
    <x v="1"/>
    <s v="Wednesday"/>
    <d v="2025-02-19T00:00:00"/>
    <n v="6"/>
    <x v="571"/>
    <x v="0"/>
    <x v="0"/>
    <s v="HV"/>
    <x v="1"/>
  </r>
  <r>
    <n v="8"/>
    <x v="1"/>
    <s v="Wednesday"/>
    <d v="2025-02-19T00:00:00"/>
    <n v="7"/>
    <x v="572"/>
    <x v="1"/>
    <x v="0"/>
    <s v="Invoice"/>
    <x v="1"/>
  </r>
  <r>
    <n v="8"/>
    <x v="1"/>
    <s v="Wednesday"/>
    <d v="2025-02-19T00:00:00"/>
    <n v="8"/>
    <x v="573"/>
    <x v="3"/>
    <x v="1"/>
    <s v="Open TT"/>
    <x v="1"/>
  </r>
  <r>
    <n v="8"/>
    <x v="1"/>
    <s v="Wednesday"/>
    <d v="2025-02-19T00:00:00"/>
    <n v="9"/>
    <x v="574"/>
    <x v="0"/>
    <x v="2"/>
    <s v="EG"/>
    <x v="1"/>
  </r>
  <r>
    <n v="8"/>
    <x v="1"/>
    <s v="Wednesday"/>
    <d v="2025-02-19T00:00:00"/>
    <n v="10"/>
    <x v="575"/>
    <x v="2"/>
    <x v="1"/>
    <s v="Cannot create shipment"/>
    <x v="0"/>
  </r>
  <r>
    <n v="8"/>
    <x v="1"/>
    <s v="Wednesday"/>
    <d v="2025-02-19T00:00:00"/>
    <n v="11"/>
    <x v="576"/>
    <x v="2"/>
    <x v="1"/>
    <s v="ASIN remap"/>
    <x v="1"/>
  </r>
  <r>
    <n v="8"/>
    <x v="1"/>
    <s v="Wednesday"/>
    <d v="2025-02-19T00:00:00"/>
    <n v="12"/>
    <x v="577"/>
    <x v="0"/>
    <x v="0"/>
    <s v="FBA"/>
    <x v="0"/>
  </r>
  <r>
    <n v="8"/>
    <x v="1"/>
    <s v="Wednesday"/>
    <d v="2025-02-19T00:00:00"/>
    <n v="13"/>
    <x v="578"/>
    <x v="1"/>
    <x v="0"/>
    <s v="Req info"/>
    <x v="0"/>
  </r>
  <r>
    <n v="8"/>
    <x v="1"/>
    <s v="Wednesday"/>
    <d v="2025-02-19T00:00:00"/>
    <n v="14"/>
    <x v="579"/>
    <x v="0"/>
    <x v="2"/>
    <s v="BR support"/>
    <x v="0"/>
  </r>
  <r>
    <n v="8"/>
    <x v="1"/>
    <s v="Wednesday"/>
    <d v="2025-02-19T00:00:00"/>
    <n v="15"/>
    <x v="580"/>
    <x v="2"/>
    <x v="1"/>
    <s v="Grade RMS"/>
    <x v="0"/>
  </r>
  <r>
    <n v="8"/>
    <x v="1"/>
    <s v="Wednesday"/>
    <d v="2025-02-19T00:00:00"/>
    <n v="16"/>
    <x v="581"/>
    <x v="2"/>
    <x v="2"/>
    <s v="Account status"/>
    <x v="1"/>
  </r>
  <r>
    <n v="8"/>
    <x v="1"/>
    <s v="Wednesday"/>
    <d v="2025-02-19T00:00:00"/>
    <n v="17"/>
    <x v="582"/>
    <x v="0"/>
    <x v="2"/>
    <s v="VCS"/>
    <x v="1"/>
  </r>
  <r>
    <n v="8"/>
    <x v="1"/>
    <s v="Wednesday"/>
    <d v="2025-02-19T00:00:00"/>
    <n v="18"/>
    <x v="583"/>
    <x v="3"/>
    <x v="2"/>
    <s v="Open TT"/>
    <x v="1"/>
  </r>
  <r>
    <n v="8"/>
    <x v="1"/>
    <s v="Wednesday"/>
    <d v="2025-02-19T00:00:00"/>
    <n v="19"/>
    <x v="584"/>
    <x v="2"/>
    <x v="1"/>
    <s v="Grade RMS"/>
    <x v="1"/>
  </r>
  <r>
    <n v="8"/>
    <x v="1"/>
    <s v="Wednesday"/>
    <d v="2025-02-19T00:00:00"/>
    <n v="20"/>
    <x v="575"/>
    <x v="1"/>
    <x v="1"/>
    <s v="Req info"/>
    <x v="1"/>
  </r>
  <r>
    <n v="8"/>
    <x v="1"/>
    <s v="Wednesday"/>
    <d v="2025-02-19T00:00:00"/>
    <n v="21"/>
    <x v="585"/>
    <x v="2"/>
    <x v="1"/>
    <s v="Invoice"/>
    <x v="1"/>
  </r>
  <r>
    <n v="8"/>
    <x v="1"/>
    <s v="Wednesday"/>
    <d v="2025-02-19T00:00:00"/>
    <n v="22"/>
    <x v="575"/>
    <x v="3"/>
    <x v="1"/>
    <s v="Cannot create shipment"/>
    <x v="1"/>
  </r>
  <r>
    <n v="8"/>
    <x v="1"/>
    <s v="Wednesday"/>
    <d v="2025-02-19T00:00:00"/>
    <n v="23"/>
    <x v="586"/>
    <x v="1"/>
    <x v="1"/>
    <s v="Reopen req - shipment"/>
    <x v="1"/>
  </r>
  <r>
    <n v="8"/>
    <x v="1"/>
    <s v="Wednesday"/>
    <d v="2025-02-19T00:00:00"/>
    <n v="24"/>
    <x v="587"/>
    <x v="2"/>
    <x v="1"/>
    <s v="Removal Order"/>
    <x v="1"/>
  </r>
  <r>
    <n v="8"/>
    <x v="1"/>
    <s v="Wednesday"/>
    <d v="2025-02-19T00:00:00"/>
    <n v="25"/>
    <x v="588"/>
    <x v="2"/>
    <x v="0"/>
    <s v="Reimbursed"/>
    <x v="1"/>
  </r>
  <r>
    <n v="8"/>
    <x v="1"/>
    <s v="Thursday"/>
    <d v="2025-02-20T00:00:00"/>
    <n v="1"/>
    <x v="589"/>
    <x v="0"/>
    <x v="1"/>
    <s v="MAT"/>
    <x v="1"/>
  </r>
  <r>
    <n v="8"/>
    <x v="1"/>
    <s v="Thursday"/>
    <d v="2025-02-20T00:00:00"/>
    <n v="2"/>
    <x v="590"/>
    <x v="3"/>
    <x v="0"/>
    <s v="Previous ASC has contacted carrier"/>
    <x v="1"/>
  </r>
  <r>
    <n v="8"/>
    <x v="1"/>
    <s v="Thursday"/>
    <d v="2025-02-20T00:00:00"/>
    <n v="3"/>
    <x v="591"/>
    <x v="3"/>
    <x v="1"/>
    <s v="Open TT"/>
    <x v="1"/>
  </r>
  <r>
    <n v="8"/>
    <x v="1"/>
    <s v="Thursday"/>
    <d v="2025-02-20T00:00:00"/>
    <n v="4"/>
    <x v="592"/>
    <x v="3"/>
    <x v="1"/>
    <s v="Open TT"/>
    <x v="1"/>
  </r>
  <r>
    <n v="8"/>
    <x v="1"/>
    <s v="Thursday"/>
    <d v="2025-02-20T00:00:00"/>
    <n v="5"/>
    <x v="593"/>
    <x v="0"/>
    <x v="0"/>
    <s v="CN"/>
    <x v="0"/>
  </r>
  <r>
    <n v="8"/>
    <x v="1"/>
    <s v="Thursday"/>
    <d v="2025-02-20T00:00:00"/>
    <n v="6"/>
    <x v="594"/>
    <x v="2"/>
    <x v="0"/>
    <s v="Reimbursed"/>
    <x v="0"/>
  </r>
  <r>
    <n v="8"/>
    <x v="1"/>
    <s v="Thursday"/>
    <d v="2025-02-20T00:00:00"/>
    <n v="7"/>
    <x v="595"/>
    <x v="2"/>
    <x v="1"/>
    <s v="Aged inventory report"/>
    <x v="1"/>
  </r>
  <r>
    <n v="8"/>
    <x v="1"/>
    <s v="Thursday"/>
    <d v="2025-02-20T00:00:00"/>
    <n v="8"/>
    <x v="596"/>
    <x v="0"/>
    <x v="1"/>
    <s v="Order invoice"/>
    <x v="1"/>
  </r>
  <r>
    <n v="8"/>
    <x v="1"/>
    <s v="Thursday"/>
    <d v="2025-02-20T00:00:00"/>
    <n v="9"/>
    <x v="597"/>
    <x v="2"/>
    <x v="2"/>
    <s v="Food and Product Safety "/>
    <x v="1"/>
  </r>
  <r>
    <n v="8"/>
    <x v="1"/>
    <s v="Thursday"/>
    <d v="2025-02-20T00:00:00"/>
    <n v="10"/>
    <x v="598"/>
    <x v="3"/>
    <x v="2"/>
    <s v="Open TT"/>
    <x v="1"/>
  </r>
  <r>
    <n v="8"/>
    <x v="1"/>
    <s v="Thursday"/>
    <d v="2025-02-20T00:00:00"/>
    <n v="11"/>
    <x v="599"/>
    <x v="2"/>
    <x v="2"/>
    <s v="Report a violation"/>
    <x v="1"/>
  </r>
  <r>
    <n v="8"/>
    <x v="1"/>
    <s v="Thursday"/>
    <d v="2025-02-20T00:00:00"/>
    <n v="12"/>
    <x v="600"/>
    <x v="1"/>
    <x v="1"/>
    <s v="Pick up issue"/>
    <x v="1"/>
  </r>
  <r>
    <n v="8"/>
    <x v="1"/>
    <s v="Thursday"/>
    <d v="2025-02-20T00:00:00"/>
    <n v="13"/>
    <x v="601"/>
    <x v="2"/>
    <x v="1"/>
    <s v="BIL"/>
    <x v="1"/>
  </r>
  <r>
    <n v="8"/>
    <x v="1"/>
    <s v="Thursday"/>
    <d v="2025-02-20T00:00:00"/>
    <n v="14"/>
    <x v="602"/>
    <x v="1"/>
    <x v="0"/>
    <s v="Req info"/>
    <x v="1"/>
  </r>
  <r>
    <n v="8"/>
    <x v="1"/>
    <s v="Thursday"/>
    <d v="2025-02-20T00:00:00"/>
    <n v="15"/>
    <x v="603"/>
    <x v="2"/>
    <x v="2"/>
    <s v="VAT"/>
    <x v="1"/>
  </r>
  <r>
    <n v="8"/>
    <x v="1"/>
    <s v="Thursday"/>
    <d v="2025-02-20T00:00:00"/>
    <n v="16"/>
    <x v="604"/>
    <x v="2"/>
    <x v="1"/>
    <s v="Non returnable ASIN"/>
    <x v="1"/>
  </r>
  <r>
    <n v="8"/>
    <x v="1"/>
    <s v="Thursday"/>
    <d v="2025-02-20T00:00:00"/>
    <n v="17"/>
    <x v="586"/>
    <x v="3"/>
    <x v="1"/>
    <s v="Reopen req - shipment"/>
    <x v="1"/>
  </r>
  <r>
    <n v="8"/>
    <x v="1"/>
    <s v="Thursday"/>
    <d v="2025-02-20T00:00:00"/>
    <n v="18"/>
    <x v="605"/>
    <x v="2"/>
    <x v="1"/>
    <s v="Removal Order"/>
    <x v="1"/>
  </r>
  <r>
    <n v="8"/>
    <x v="1"/>
    <s v="Thursday"/>
    <d v="2025-02-20T00:00:00"/>
    <n v="19"/>
    <x v="606"/>
    <x v="2"/>
    <x v="1"/>
    <s v="Removal Order"/>
    <x v="1"/>
  </r>
  <r>
    <n v="8"/>
    <x v="1"/>
    <s v="Thursday"/>
    <d v="2025-02-20T00:00:00"/>
    <n v="20"/>
    <x v="607"/>
    <x v="1"/>
    <x v="1"/>
    <s v="LPN number"/>
    <x v="1"/>
  </r>
  <r>
    <n v="8"/>
    <x v="1"/>
    <s v="Thursday"/>
    <d v="2025-02-20T00:00:00"/>
    <n v="21"/>
    <x v="608"/>
    <x v="0"/>
    <x v="2"/>
    <s v="IIDP"/>
    <x v="0"/>
  </r>
  <r>
    <n v="8"/>
    <x v="1"/>
    <s v="Thursday"/>
    <d v="2025-02-20T00:00:00"/>
    <n v="22"/>
    <x v="609"/>
    <x v="2"/>
    <x v="2"/>
    <s v="Campaign"/>
    <x v="1"/>
  </r>
  <r>
    <n v="8"/>
    <x v="1"/>
    <s v="Thursday"/>
    <d v="2025-02-20T00:00:00"/>
    <n v="23"/>
    <x v="610"/>
    <x v="0"/>
    <x v="2"/>
    <s v="VAT"/>
    <x v="1"/>
  </r>
  <r>
    <n v="8"/>
    <x v="1"/>
    <s v="Friday"/>
    <d v="2025-02-21T00:00:00"/>
    <n v="1"/>
    <x v="596"/>
    <x v="0"/>
    <x v="1"/>
    <s v="VAT"/>
    <x v="0"/>
  </r>
  <r>
    <n v="8"/>
    <x v="1"/>
    <s v="Friday"/>
    <d v="2025-02-21T00:00:00"/>
    <n v="2"/>
    <x v="611"/>
    <x v="2"/>
    <x v="2"/>
    <s v="Account login issue"/>
    <x v="1"/>
  </r>
  <r>
    <n v="8"/>
    <x v="1"/>
    <s v="Friday"/>
    <d v="2025-02-21T00:00:00"/>
    <n v="3"/>
    <x v="612"/>
    <x v="2"/>
    <x v="1"/>
    <s v="Removal Order"/>
    <x v="1"/>
  </r>
  <r>
    <n v="8"/>
    <x v="1"/>
    <s v="Friday"/>
    <d v="2025-02-21T00:00:00"/>
    <n v="4"/>
    <x v="613"/>
    <x v="2"/>
    <x v="1"/>
    <s v="Receiving"/>
    <x v="1"/>
  </r>
  <r>
    <n v="8"/>
    <x v="1"/>
    <s v="Friday"/>
    <d v="2025-02-21T00:00:00"/>
    <n v="5"/>
    <x v="614"/>
    <x v="2"/>
    <x v="1"/>
    <s v="Damaged inventory"/>
    <x v="1"/>
  </r>
  <r>
    <n v="8"/>
    <x v="1"/>
    <s v="Friday"/>
    <d v="2025-02-21T00:00:00"/>
    <n v="6"/>
    <x v="615"/>
    <x v="1"/>
    <x v="0"/>
    <s v="More time req"/>
    <x v="0"/>
  </r>
  <r>
    <n v="8"/>
    <x v="1"/>
    <s v="Friday"/>
    <d v="2025-02-21T00:00:00"/>
    <n v="7"/>
    <x v="616"/>
    <x v="2"/>
    <x v="1"/>
    <s v="Safe-T claim"/>
    <x v="0"/>
  </r>
  <r>
    <n v="8"/>
    <x v="1"/>
    <s v="Friday"/>
    <d v="2025-02-21T00:00:00"/>
    <n v="8"/>
    <x v="617"/>
    <x v="3"/>
    <x v="1"/>
    <s v="Open TT"/>
    <x v="0"/>
  </r>
  <r>
    <n v="8"/>
    <x v="1"/>
    <s v="Friday"/>
    <d v="2025-02-21T00:00:00"/>
    <n v="9"/>
    <x v="618"/>
    <x v="0"/>
    <x v="2"/>
    <s v="BR support"/>
    <x v="1"/>
  </r>
  <r>
    <n v="8"/>
    <x v="1"/>
    <s v="Friday"/>
    <d v="2025-02-21T00:00:00"/>
    <n v="10"/>
    <x v="619"/>
    <x v="0"/>
    <x v="0"/>
    <s v="HV"/>
    <x v="1"/>
  </r>
  <r>
    <n v="8"/>
    <x v="1"/>
    <s v="Friday"/>
    <d v="2025-02-21T00:00:00"/>
    <n v="11"/>
    <x v="620"/>
    <x v="0"/>
    <x v="1"/>
    <s v="Carrier support"/>
    <x v="0"/>
  </r>
  <r>
    <n v="8"/>
    <x v="1"/>
    <s v="Friday"/>
    <d v="2025-02-21T00:00:00"/>
    <n v="12"/>
    <x v="621"/>
    <x v="0"/>
    <x v="0"/>
    <s v="FBA"/>
    <x v="1"/>
  </r>
  <r>
    <n v="8"/>
    <x v="1"/>
    <s v="Friday"/>
    <d v="2025-02-21T00:00:00"/>
    <n v="13"/>
    <x v="622"/>
    <x v="3"/>
    <x v="1"/>
    <s v="Open TT"/>
    <x v="1"/>
  </r>
  <r>
    <n v="8"/>
    <x v="1"/>
    <s v="Friday"/>
    <d v="2025-02-21T00:00:00"/>
    <n v="14"/>
    <x v="358"/>
    <x v="3"/>
    <x v="1"/>
    <s v="Open TT"/>
    <x v="1"/>
  </r>
  <r>
    <n v="8"/>
    <x v="1"/>
    <s v="Friday"/>
    <d v="2025-02-21T00:00:00"/>
    <n v="15"/>
    <x v="467"/>
    <x v="3"/>
    <x v="1"/>
    <s v="Open TT"/>
    <x v="1"/>
  </r>
  <r>
    <n v="8"/>
    <x v="1"/>
    <s v="Friday"/>
    <d v="2025-02-21T00:00:00"/>
    <n v="16"/>
    <x v="623"/>
    <x v="2"/>
    <x v="2"/>
    <s v="Recall ASIN"/>
    <x v="1"/>
  </r>
  <r>
    <n v="8"/>
    <x v="1"/>
    <s v="Friday"/>
    <d v="2025-02-21T00:00:00"/>
    <n v="17"/>
    <x v="624"/>
    <x v="1"/>
    <x v="0"/>
    <s v="Proof of Pick up "/>
    <x v="1"/>
  </r>
  <r>
    <n v="8"/>
    <x v="1"/>
    <s v="Friday"/>
    <d v="2025-02-21T00:00:00"/>
    <n v="18"/>
    <x v="625"/>
    <x v="2"/>
    <x v="0"/>
    <s v="Item Ineligible"/>
    <x v="1"/>
  </r>
  <r>
    <n v="8"/>
    <x v="1"/>
    <s v="Friday"/>
    <d v="2025-02-21T00:00:00"/>
    <n v="19"/>
    <x v="626"/>
    <x v="3"/>
    <x v="2"/>
    <s v="Open TT"/>
    <x v="1"/>
  </r>
  <r>
    <n v="8"/>
    <x v="1"/>
    <s v="Friday"/>
    <d v="2025-02-21T00:00:00"/>
    <n v="20"/>
    <x v="627"/>
    <x v="2"/>
    <x v="2"/>
    <s v="Bank account"/>
    <x v="1"/>
  </r>
  <r>
    <n v="8"/>
    <x v="1"/>
    <s v="Friday"/>
    <d v="2025-02-21T00:00:00"/>
    <n v="21"/>
    <x v="628"/>
    <x v="3"/>
    <x v="1"/>
    <s v="Open TT"/>
    <x v="1"/>
  </r>
  <r>
    <n v="8"/>
    <x v="1"/>
    <s v="Friday"/>
    <d v="2025-02-21T00:00:00"/>
    <n v="22"/>
    <x v="629"/>
    <x v="0"/>
    <x v="1"/>
    <s v="MCF"/>
    <x v="1"/>
  </r>
  <r>
    <n v="8"/>
    <x v="1"/>
    <s v="Friday"/>
    <d v="2025-02-21T00:00:00"/>
    <n v="23"/>
    <x v="630"/>
    <x v="1"/>
    <x v="1"/>
    <s v="Query unclear"/>
    <x v="1"/>
  </r>
  <r>
    <n v="8"/>
    <x v="1"/>
    <s v="Friday"/>
    <d v="2025-02-21T00:00:00"/>
    <n v="24"/>
    <x v="631"/>
    <x v="0"/>
    <x v="0"/>
    <s v="HV"/>
    <x v="1"/>
  </r>
  <r>
    <n v="8"/>
    <x v="1"/>
    <s v="Friday"/>
    <d v="2025-02-21T00:00:00"/>
    <n v="25"/>
    <x v="632"/>
    <x v="2"/>
    <x v="0"/>
    <s v="Reimbursed"/>
    <x v="1"/>
  </r>
  <r>
    <n v="8"/>
    <x v="1"/>
    <s v="Friday"/>
    <d v="2025-02-21T00:00:00"/>
    <n v="26"/>
    <x v="633"/>
    <x v="2"/>
    <x v="1"/>
    <s v="WD"/>
    <x v="1"/>
  </r>
  <r>
    <n v="8"/>
    <x v="1"/>
    <s v="Friday"/>
    <d v="2025-02-21T00:00:00"/>
    <n v="27"/>
    <x v="634"/>
    <x v="2"/>
    <x v="0"/>
    <s v="Item Ineligible"/>
    <x v="0"/>
  </r>
  <r>
    <n v="8"/>
    <x v="1"/>
    <s v="Saturday"/>
    <d v="2025-02-22T00:00:00"/>
    <n v="1"/>
    <x v="635"/>
    <x v="2"/>
    <x v="1"/>
    <s v="Lost inventory"/>
    <x v="1"/>
  </r>
  <r>
    <n v="8"/>
    <x v="1"/>
    <s v="Saturday"/>
    <d v="2025-02-22T00:00:00"/>
    <n v="2"/>
    <x v="636"/>
    <x v="2"/>
    <x v="0"/>
    <s v="Reimbursed"/>
    <x v="1"/>
  </r>
  <r>
    <n v="8"/>
    <x v="1"/>
    <s v="Saturday"/>
    <d v="2025-02-22T00:00:00"/>
    <n v="3"/>
    <x v="637"/>
    <x v="2"/>
    <x v="1"/>
    <s v="Inactive listing"/>
    <x v="1"/>
  </r>
  <r>
    <n v="8"/>
    <x v="1"/>
    <s v="Saturday"/>
    <d v="2025-02-22T00:00:00"/>
    <n v="4"/>
    <x v="638"/>
    <x v="3"/>
    <x v="2"/>
    <s v="Open TT"/>
    <x v="1"/>
  </r>
  <r>
    <n v="8"/>
    <x v="1"/>
    <s v="Saturday"/>
    <d v="2025-02-22T00:00:00"/>
    <n v="5"/>
    <x v="639"/>
    <x v="3"/>
    <x v="1"/>
    <s v="Open TT"/>
    <x v="1"/>
  </r>
  <r>
    <n v="8"/>
    <x v="1"/>
    <s v="Saturday"/>
    <d v="2025-02-22T00:00:00"/>
    <n v="6"/>
    <x v="640"/>
    <x v="2"/>
    <x v="0"/>
    <s v="Reimbursed"/>
    <x v="0"/>
  </r>
  <r>
    <n v="8"/>
    <x v="1"/>
    <s v="Saturday"/>
    <d v="2025-02-22T00:00:00"/>
    <n v="7"/>
    <x v="641"/>
    <x v="2"/>
    <x v="1"/>
    <s v="Lost inventory"/>
    <x v="1"/>
  </r>
  <r>
    <n v="8"/>
    <x v="1"/>
    <s v="Saturday"/>
    <d v="2025-02-22T00:00:00"/>
    <n v="8"/>
    <x v="642"/>
    <x v="2"/>
    <x v="0"/>
    <s v="Reimbursed"/>
    <x v="1"/>
  </r>
  <r>
    <n v="8"/>
    <x v="1"/>
    <s v="Saturday"/>
    <d v="2025-02-22T00:00:00"/>
    <n v="9"/>
    <x v="643"/>
    <x v="2"/>
    <x v="1"/>
    <s v="ASIN remap"/>
    <x v="1"/>
  </r>
  <r>
    <n v="8"/>
    <x v="1"/>
    <s v="Saturday"/>
    <d v="2025-02-22T00:00:00"/>
    <n v="10"/>
    <x v="644"/>
    <x v="1"/>
    <x v="1"/>
    <s v="Removal Order"/>
    <x v="1"/>
  </r>
  <r>
    <n v="8"/>
    <x v="1"/>
    <s v="Saturday"/>
    <d v="2025-02-22T00:00:00"/>
    <n v="11"/>
    <x v="645"/>
    <x v="0"/>
    <x v="1"/>
    <s v="BR support"/>
    <x v="1"/>
  </r>
  <r>
    <n v="8"/>
    <x v="1"/>
    <s v="Saturday"/>
    <d v="2025-02-22T00:00:00"/>
    <n v="12"/>
    <x v="646"/>
    <x v="2"/>
    <x v="0"/>
    <s v="Reimbursed"/>
    <x v="1"/>
  </r>
  <r>
    <n v="8"/>
    <x v="1"/>
    <s v="Saturday"/>
    <d v="2025-02-22T00:00:00"/>
    <n v="13"/>
    <x v="644"/>
    <x v="0"/>
    <x v="1"/>
    <s v="FFT"/>
    <x v="1"/>
  </r>
  <r>
    <n v="8"/>
    <x v="1"/>
    <s v="Saturday"/>
    <d v="2025-02-22T00:00:00"/>
    <n v="14"/>
    <x v="647"/>
    <x v="1"/>
    <x v="1"/>
    <s v="Removal Order"/>
    <x v="1"/>
  </r>
  <r>
    <n v="8"/>
    <x v="1"/>
    <s v="Saturday"/>
    <d v="2025-02-22T00:00:00"/>
    <n v="15"/>
    <x v="648"/>
    <x v="2"/>
    <x v="0"/>
    <s v="Adjusted"/>
    <x v="1"/>
  </r>
  <r>
    <n v="8"/>
    <x v="1"/>
    <s v="Saturday"/>
    <d v="2025-02-22T00:00:00"/>
    <n v="16"/>
    <x v="649"/>
    <x v="2"/>
    <x v="0"/>
    <s v="Reimbursed"/>
    <x v="1"/>
  </r>
  <r>
    <n v="8"/>
    <x v="1"/>
    <s v="Saturday"/>
    <d v="2025-02-22T00:00:00"/>
    <n v="17"/>
    <x v="650"/>
    <x v="0"/>
    <x v="2"/>
    <s v="Amazon Renewed AE queue : sesu-ae-mat-ecm-reg-std-eng-crf@amazon.ae"/>
    <x v="1"/>
  </r>
  <r>
    <n v="8"/>
    <x v="1"/>
    <s v="Saturday"/>
    <d v="2025-02-22T00:00:00"/>
    <n v="18"/>
    <x v="651"/>
    <x v="2"/>
    <x v="0"/>
    <s v="WD"/>
    <x v="0"/>
  </r>
  <r>
    <n v="8"/>
    <x v="1"/>
    <s v="Saturday"/>
    <d v="2025-02-22T00:00:00"/>
    <n v="19"/>
    <x v="652"/>
    <x v="3"/>
    <x v="1"/>
    <s v="Expired inventory"/>
    <x v="1"/>
  </r>
  <r>
    <n v="8"/>
    <x v="1"/>
    <s v="Saturday"/>
    <d v="2025-02-22T00:00:00"/>
    <n v="20"/>
    <x v="653"/>
    <x v="3"/>
    <x v="1"/>
    <s v="Deals"/>
    <x v="0"/>
  </r>
  <r>
    <n v="8"/>
    <x v="1"/>
    <s v="Saturday"/>
    <d v="2025-02-22T00:00:00"/>
    <n v="21"/>
    <x v="654"/>
    <x v="1"/>
    <x v="0"/>
    <s v="Invoice"/>
    <x v="0"/>
  </r>
  <r>
    <n v="8"/>
    <x v="1"/>
    <s v="Saturday"/>
    <d v="2025-02-22T00:00:00"/>
    <n v="22"/>
    <x v="655"/>
    <x v="2"/>
    <x v="1"/>
    <s v="Disbursement"/>
    <x v="1"/>
  </r>
  <r>
    <n v="8"/>
    <x v="1"/>
    <s v="Saturday"/>
    <d v="2025-02-22T00:00:00"/>
    <n v="23"/>
    <x v="656"/>
    <x v="2"/>
    <x v="1"/>
    <s v="Missed pickup"/>
    <x v="1"/>
  </r>
  <r>
    <n v="8"/>
    <x v="1"/>
    <s v="Saturday"/>
    <d v="2025-02-22T00:00:00"/>
    <n v="24"/>
    <x v="657"/>
    <x v="0"/>
    <x v="2"/>
    <s v="IIDP"/>
    <x v="1"/>
  </r>
  <r>
    <n v="8"/>
    <x v="1"/>
    <s v="Saturday"/>
    <d v="2025-02-22T00:00:00"/>
    <n v="25"/>
    <x v="658"/>
    <x v="2"/>
    <x v="2"/>
    <s v="Generate a report"/>
    <x v="0"/>
  </r>
  <r>
    <n v="8"/>
    <x v="1"/>
    <s v="Saturday"/>
    <d v="2025-02-22T00:00:00"/>
    <n v="26"/>
    <x v="659"/>
    <x v="2"/>
    <x v="2"/>
    <s v="Bank account"/>
    <x v="1"/>
  </r>
  <r>
    <n v="8"/>
    <x v="1"/>
    <s v="Saturday"/>
    <d v="2025-02-22T00:00:00"/>
    <n v="27"/>
    <x v="489"/>
    <x v="3"/>
    <x v="1"/>
    <s v="Open TT"/>
    <x v="1"/>
  </r>
  <r>
    <n v="8"/>
    <x v="1"/>
    <s v="Saturday"/>
    <d v="2025-02-22T00:00:00"/>
    <n v="28"/>
    <x v="660"/>
    <x v="2"/>
    <x v="2"/>
    <s v="Account deactivated"/>
    <x v="1"/>
  </r>
  <r>
    <n v="8"/>
    <x v="1"/>
    <s v="Saturday"/>
    <d v="2025-02-22T00:00:00"/>
    <n v="29"/>
    <x v="661"/>
    <x v="3"/>
    <x v="1"/>
    <s v="Open TT"/>
    <x v="1"/>
  </r>
  <r>
    <n v="9"/>
    <x v="1"/>
    <s v="Tuesday"/>
    <d v="2025-02-25T00:00:00"/>
    <n v="1"/>
    <x v="662"/>
    <x v="2"/>
    <x v="1"/>
    <s v="Lost inventory"/>
    <x v="0"/>
  </r>
  <r>
    <n v="9"/>
    <x v="1"/>
    <s v="Tuesday"/>
    <d v="2025-02-25T00:00:00"/>
    <n v="2"/>
    <x v="663"/>
    <x v="2"/>
    <x v="1"/>
    <s v="Lost inventory"/>
    <x v="1"/>
  </r>
  <r>
    <n v="9"/>
    <x v="1"/>
    <s v="Tuesday"/>
    <d v="2025-02-25T00:00:00"/>
    <n v="3"/>
    <x v="664"/>
    <x v="3"/>
    <x v="1"/>
    <s v="WD"/>
    <x v="1"/>
  </r>
  <r>
    <n v="9"/>
    <x v="1"/>
    <s v="Tuesday"/>
    <d v="2025-02-25T00:00:00"/>
    <n v="4"/>
    <x v="665"/>
    <x v="2"/>
    <x v="2"/>
    <s v="Selling application rejected reason"/>
    <x v="1"/>
  </r>
  <r>
    <n v="9"/>
    <x v="1"/>
    <s v="Tuesday"/>
    <d v="2025-02-25T00:00:00"/>
    <n v="5"/>
    <x v="666"/>
    <x v="1"/>
    <x v="0"/>
    <s v="More time req"/>
    <x v="1"/>
  </r>
  <r>
    <n v="9"/>
    <x v="1"/>
    <s v="Tuesday"/>
    <d v="2025-02-25T00:00:00"/>
    <n v="6"/>
    <x v="667"/>
    <x v="2"/>
    <x v="2"/>
    <s v="Feedback removal req"/>
    <x v="1"/>
  </r>
  <r>
    <n v="9"/>
    <x v="1"/>
    <s v="Tuesday"/>
    <d v="2025-02-25T00:00:00"/>
    <n v="7"/>
    <x v="668"/>
    <x v="0"/>
    <x v="2"/>
    <s v="SA"/>
    <x v="1"/>
  </r>
  <r>
    <n v="9"/>
    <x v="1"/>
    <s v="Tuesday"/>
    <d v="2025-02-25T00:00:00"/>
    <n v="8"/>
    <x v="669"/>
    <x v="3"/>
    <x v="1"/>
    <s v="Ramadan Deal"/>
    <x v="1"/>
  </r>
  <r>
    <n v="9"/>
    <x v="1"/>
    <s v="Tuesday"/>
    <d v="2025-02-25T00:00:00"/>
    <n v="9"/>
    <x v="670"/>
    <x v="3"/>
    <x v="1"/>
    <s v="Open TT"/>
    <x v="1"/>
  </r>
  <r>
    <n v="9"/>
    <x v="1"/>
    <s v="Tuesday"/>
    <d v="2025-02-25T00:00:00"/>
    <n v="10"/>
    <x v="671"/>
    <x v="2"/>
    <x v="2"/>
    <s v="Generate a report"/>
    <x v="1"/>
  </r>
  <r>
    <n v="9"/>
    <x v="1"/>
    <s v="Tuesday"/>
    <d v="2025-02-25T00:00:00"/>
    <n v="11"/>
    <x v="672"/>
    <x v="2"/>
    <x v="0"/>
    <s v="Item Ineligible"/>
    <x v="1"/>
  </r>
  <r>
    <n v="9"/>
    <x v="1"/>
    <s v="Tuesday"/>
    <d v="2025-02-25T00:00:00"/>
    <n v="12"/>
    <x v="673"/>
    <x v="0"/>
    <x v="2"/>
    <s v="Arabic support"/>
    <x v="1"/>
  </r>
  <r>
    <n v="9"/>
    <x v="1"/>
    <s v="Tuesday"/>
    <d v="2025-02-25T00:00:00"/>
    <n v="13"/>
    <x v="674"/>
    <x v="2"/>
    <x v="1"/>
    <s v="Removal Order"/>
    <x v="1"/>
  </r>
  <r>
    <n v="9"/>
    <x v="1"/>
    <s v="Tuesday"/>
    <d v="2025-02-25T00:00:00"/>
    <n v="14"/>
    <x v="675"/>
    <x v="0"/>
    <x v="0"/>
    <s v="FBA"/>
    <x v="1"/>
  </r>
  <r>
    <n v="9"/>
    <x v="1"/>
    <s v="Tuesday"/>
    <d v="2025-02-25T00:00:00"/>
    <n v="15"/>
    <x v="676"/>
    <x v="3"/>
    <x v="1"/>
    <s v="Open TT"/>
    <x v="0"/>
  </r>
  <r>
    <n v="9"/>
    <x v="1"/>
    <s v="Tuesday"/>
    <d v="2025-02-25T00:00:00"/>
    <n v="16"/>
    <x v="677"/>
    <x v="1"/>
    <x v="0"/>
    <s v="Invoice"/>
    <x v="1"/>
  </r>
  <r>
    <n v="9"/>
    <x v="1"/>
    <s v="Tuesday"/>
    <d v="2025-02-25T00:00:00"/>
    <n v="17"/>
    <x v="678"/>
    <x v="2"/>
    <x v="0"/>
    <s v="WD"/>
    <x v="1"/>
  </r>
  <r>
    <n v="9"/>
    <x v="1"/>
    <s v="Tuesday"/>
    <d v="2025-02-25T00:00:00"/>
    <n v="18"/>
    <x v="679"/>
    <x v="2"/>
    <x v="0"/>
    <s v="Reimbursed"/>
    <x v="1"/>
  </r>
  <r>
    <n v="9"/>
    <x v="1"/>
    <s v="Tuesday"/>
    <d v="2025-02-25T00:00:00"/>
    <n v="19"/>
    <x v="680"/>
    <x v="2"/>
    <x v="0"/>
    <s v="Item Ineligible"/>
    <x v="1"/>
  </r>
  <r>
    <n v="9"/>
    <x v="1"/>
    <s v="Tuesday"/>
    <d v="2025-02-25T00:00:00"/>
    <n v="20"/>
    <x v="681"/>
    <x v="0"/>
    <x v="0"/>
    <s v="HV"/>
    <x v="1"/>
  </r>
  <r>
    <n v="9"/>
    <x v="1"/>
    <s v="Tuesday"/>
    <d v="2025-02-25T00:00:00"/>
    <n v="21"/>
    <x v="682"/>
    <x v="1"/>
    <x v="1"/>
    <s v="Informed as per TT"/>
    <x v="1"/>
  </r>
  <r>
    <n v="9"/>
    <x v="1"/>
    <s v="Tuesday"/>
    <d v="2025-02-25T00:00:00"/>
    <n v="22"/>
    <x v="683"/>
    <x v="2"/>
    <x v="1"/>
    <s v="Orders"/>
    <x v="1"/>
  </r>
  <r>
    <n v="9"/>
    <x v="1"/>
    <s v="Tuesday"/>
    <d v="2025-02-25T00:00:00"/>
    <n v="23"/>
    <x v="684"/>
    <x v="3"/>
    <x v="1"/>
    <s v="Open TT"/>
    <x v="1"/>
  </r>
  <r>
    <n v="9"/>
    <x v="1"/>
    <s v="Tuesday"/>
    <d v="2025-02-25T00:00:00"/>
    <n v="24"/>
    <x v="685"/>
    <x v="3"/>
    <x v="1"/>
    <s v="Open TT"/>
    <x v="1"/>
  </r>
  <r>
    <n v="9"/>
    <x v="1"/>
    <s v="Tuesday"/>
    <d v="2025-02-25T00:00:00"/>
    <n v="25"/>
    <x v="686"/>
    <x v="2"/>
    <x v="1"/>
    <s v="Merged case"/>
    <x v="1"/>
  </r>
  <r>
    <n v="9"/>
    <x v="1"/>
    <s v="Tuesday"/>
    <d v="2025-02-25T00:00:00"/>
    <n v="26"/>
    <x v="687"/>
    <x v="3"/>
    <x v="1"/>
    <s v="Open TT"/>
    <x v="1"/>
  </r>
  <r>
    <n v="9"/>
    <x v="1"/>
    <s v="Tuesday"/>
    <d v="2025-02-25T00:00:00"/>
    <n v="27"/>
    <x v="688"/>
    <x v="2"/>
    <x v="2"/>
    <s v="SP issue fixed while on chat"/>
    <x v="1"/>
  </r>
  <r>
    <n v="9"/>
    <x v="1"/>
    <s v="Tuesday"/>
    <d v="2025-02-25T00:00:00"/>
    <n v="28"/>
    <x v="689"/>
    <x v="0"/>
    <x v="1"/>
    <s v="Transferred to correct MP"/>
    <x v="1"/>
  </r>
  <r>
    <n v="9"/>
    <x v="1"/>
    <s v="Tuesday"/>
    <d v="2025-02-25T00:00:00"/>
    <n v="29"/>
    <x v="684"/>
    <x v="2"/>
    <x v="1"/>
    <s v="PO flip"/>
    <x v="1"/>
  </r>
  <r>
    <n v="9"/>
    <x v="1"/>
    <s v="Wednesday"/>
    <d v="2025-02-26T00:00:00"/>
    <n v="1"/>
    <x v="690"/>
    <x v="1"/>
    <x v="1"/>
    <s v="WD"/>
    <x v="1"/>
  </r>
  <r>
    <n v="9"/>
    <x v="1"/>
    <s v="Wednesday"/>
    <d v="2025-02-26T00:00:00"/>
    <n v="2"/>
    <x v="691"/>
    <x v="2"/>
    <x v="1"/>
    <s v="Removal Order"/>
    <x v="1"/>
  </r>
  <r>
    <n v="9"/>
    <x v="1"/>
    <s v="Wednesday"/>
    <d v="2025-02-26T00:00:00"/>
    <n v="3"/>
    <x v="692"/>
    <x v="2"/>
    <x v="1"/>
    <s v="Reserved inventory"/>
    <x v="1"/>
  </r>
  <r>
    <n v="9"/>
    <x v="1"/>
    <s v="Wednesday"/>
    <d v="2025-02-26T00:00:00"/>
    <n v="4"/>
    <x v="693"/>
    <x v="2"/>
    <x v="2"/>
    <s v="Product review"/>
    <x v="1"/>
  </r>
  <r>
    <n v="9"/>
    <x v="1"/>
    <s v="Wednesday"/>
    <d v="2025-02-26T00:00:00"/>
    <n v="5"/>
    <x v="694"/>
    <x v="0"/>
    <x v="2"/>
    <s v="IIDP"/>
    <x v="1"/>
  </r>
  <r>
    <n v="9"/>
    <x v="1"/>
    <s v="Wednesday"/>
    <d v="2025-02-26T00:00:00"/>
    <n v="6"/>
    <x v="695"/>
    <x v="2"/>
    <x v="1"/>
    <s v="Feedback removal req"/>
    <x v="1"/>
  </r>
  <r>
    <n v="9"/>
    <x v="1"/>
    <s v="Wednesday"/>
    <d v="2025-02-26T00:00:00"/>
    <n v="7"/>
    <x v="696"/>
    <x v="0"/>
    <x v="2"/>
    <s v="Arabic support"/>
    <x v="1"/>
  </r>
  <r>
    <n v="9"/>
    <x v="1"/>
    <s v="Wednesday"/>
    <d v="2025-02-26T00:00:00"/>
    <n v="8"/>
    <x v="697"/>
    <x v="3"/>
    <x v="1"/>
    <s v="WD"/>
    <x v="0"/>
  </r>
  <r>
    <n v="9"/>
    <x v="1"/>
    <s v="Wednesday"/>
    <d v="2025-02-26T00:00:00"/>
    <n v="9"/>
    <x v="698"/>
    <x v="3"/>
    <x v="2"/>
    <s v="Open TT"/>
    <x v="1"/>
  </r>
  <r>
    <n v="9"/>
    <x v="1"/>
    <s v="Wednesday"/>
    <d v="2025-02-26T00:00:00"/>
    <n v="10"/>
    <x v="699"/>
    <x v="2"/>
    <x v="2"/>
    <s v="Order invoice"/>
    <x v="1"/>
  </r>
  <r>
    <n v="9"/>
    <x v="1"/>
    <s v="Wednesday"/>
    <d v="2025-02-26T00:00:00"/>
    <n v="11"/>
    <x v="700"/>
    <x v="0"/>
    <x v="2"/>
    <s v="IIDP"/>
    <x v="1"/>
  </r>
  <r>
    <n v="9"/>
    <x v="1"/>
    <s v="Wednesday"/>
    <d v="2025-02-26T00:00:00"/>
    <n v="12"/>
    <x v="701"/>
    <x v="4"/>
    <x v="2"/>
    <s v="E8541"/>
    <x v="1"/>
  </r>
  <r>
    <n v="9"/>
    <x v="1"/>
    <s v="Wednesday"/>
    <d v="2025-02-26T00:00:00"/>
    <n v="13"/>
    <x v="702"/>
    <x v="3"/>
    <x v="1"/>
    <s v="Open TT"/>
    <x v="1"/>
  </r>
  <r>
    <n v="9"/>
    <x v="1"/>
    <s v="Wednesday"/>
    <d v="2025-02-26T00:00:00"/>
    <n v="14"/>
    <x v="703"/>
    <x v="2"/>
    <x v="2"/>
    <s v="Informed as per TT"/>
    <x v="1"/>
  </r>
  <r>
    <n v="9"/>
    <x v="1"/>
    <s v="Wednesday"/>
    <d v="2025-02-26T00:00:00"/>
    <n v="15"/>
    <x v="704"/>
    <x v="2"/>
    <x v="1"/>
    <s v="Removal Order"/>
    <x v="1"/>
  </r>
  <r>
    <n v="9"/>
    <x v="1"/>
    <s v="Wednesday"/>
    <d v="2025-02-26T00:00:00"/>
    <n v="16"/>
    <x v="705"/>
    <x v="2"/>
    <x v="1"/>
    <s v="Non returnable ASIN"/>
    <x v="1"/>
  </r>
  <r>
    <n v="9"/>
    <x v="1"/>
    <s v="Wednesday"/>
    <d v="2025-02-26T00:00:00"/>
    <n v="17"/>
    <x v="706"/>
    <x v="0"/>
    <x v="0"/>
    <s v="FBA"/>
    <x v="0"/>
  </r>
  <r>
    <n v="9"/>
    <x v="1"/>
    <s v="Wednesday"/>
    <d v="2025-02-26T00:00:00"/>
    <n v="18"/>
    <x v="707"/>
    <x v="2"/>
    <x v="1"/>
    <s v="Safe-T claim"/>
    <x v="1"/>
  </r>
  <r>
    <n v="9"/>
    <x v="1"/>
    <s v="Wednesday"/>
    <d v="2025-02-26T00:00:00"/>
    <n v="19"/>
    <x v="708"/>
    <x v="2"/>
    <x v="0"/>
    <s v="Reimbursed"/>
    <x v="1"/>
  </r>
  <r>
    <n v="9"/>
    <x v="1"/>
    <s v="Wednesday"/>
    <d v="2025-02-26T00:00:00"/>
    <n v="20"/>
    <x v="578"/>
    <x v="2"/>
    <x v="0"/>
    <s v="Reimbursed"/>
    <x v="0"/>
  </r>
  <r>
    <n v="9"/>
    <x v="1"/>
    <s v="Wednesday"/>
    <d v="2025-02-26T00:00:00"/>
    <n v="21"/>
    <x v="467"/>
    <x v="3"/>
    <x v="2"/>
    <s v="Open TT"/>
    <x v="1"/>
  </r>
  <r>
    <n v="9"/>
    <x v="1"/>
    <s v="Wednesday"/>
    <d v="2025-02-26T00:00:00"/>
    <n v="22"/>
    <x v="709"/>
    <x v="1"/>
    <x v="2"/>
    <s v="Informed as per TT"/>
    <x v="1"/>
  </r>
  <r>
    <n v="9"/>
    <x v="1"/>
    <s v="Wednesday"/>
    <d v="2025-02-26T00:00:00"/>
    <n v="23"/>
    <x v="710"/>
    <x v="2"/>
    <x v="2"/>
    <s v="Disbursement"/>
    <x v="0"/>
  </r>
  <r>
    <n v="9"/>
    <x v="1"/>
    <s v="Wednesday"/>
    <d v="2025-02-26T00:00:00"/>
    <n v="24"/>
    <x v="711"/>
    <x v="3"/>
    <x v="1"/>
    <s v="Amazon pickup service"/>
    <x v="1"/>
  </r>
  <r>
    <n v="9"/>
    <x v="1"/>
    <s v="Wednesday"/>
    <d v="2025-02-26T00:00:00"/>
    <n v="25"/>
    <x v="705"/>
    <x v="2"/>
    <x v="1"/>
    <s v="Non returnable ASIN"/>
    <x v="1"/>
  </r>
  <r>
    <n v="9"/>
    <x v="1"/>
    <s v="Wednesday"/>
    <d v="2025-02-26T00:00:00"/>
    <n v="26"/>
    <x v="712"/>
    <x v="2"/>
    <x v="0"/>
    <s v="Item Ineligible"/>
    <x v="1"/>
  </r>
  <r>
    <n v="9"/>
    <x v="1"/>
    <s v="Wednesday"/>
    <d v="2025-02-26T00:00:00"/>
    <n v="27"/>
    <x v="713"/>
    <x v="3"/>
    <x v="1"/>
    <s v="Open TT"/>
    <x v="1"/>
  </r>
  <r>
    <n v="9"/>
    <x v="1"/>
    <s v="Wednesday"/>
    <d v="2025-02-26T00:00:00"/>
    <n v="28"/>
    <x v="714"/>
    <x v="2"/>
    <x v="0"/>
    <s v="Reimbursed"/>
    <x v="1"/>
  </r>
  <r>
    <n v="9"/>
    <x v="1"/>
    <s v="Wednesday"/>
    <d v="2025-02-26T00:00:00"/>
    <n v="29"/>
    <x v="715"/>
    <x v="2"/>
    <x v="1"/>
    <s v="Easyship "/>
    <x v="1"/>
  </r>
  <r>
    <n v="9"/>
    <x v="1"/>
    <s v="Thursday"/>
    <d v="2025-02-27T00:00:00"/>
    <n v="1"/>
    <x v="716"/>
    <x v="2"/>
    <x v="0"/>
    <s v="Reimbursed"/>
    <x v="1"/>
  </r>
  <r>
    <n v="9"/>
    <x v="1"/>
    <s v="Thursday"/>
    <d v="2025-02-27T00:00:00"/>
    <n v="2"/>
    <x v="529"/>
    <x v="3"/>
    <x v="1"/>
    <s v="Stranded inventory"/>
    <x v="1"/>
  </r>
  <r>
    <n v="9"/>
    <x v="1"/>
    <s v="Thursday"/>
    <d v="2025-02-27T00:00:00"/>
    <n v="3"/>
    <x v="717"/>
    <x v="2"/>
    <x v="2"/>
    <s v="Account deactivated"/>
    <x v="1"/>
  </r>
  <r>
    <n v="9"/>
    <x v="1"/>
    <s v="Thursday"/>
    <d v="2025-02-27T00:00:00"/>
    <n v="4"/>
    <x v="718"/>
    <x v="2"/>
    <x v="1"/>
    <s v="Removal Order"/>
    <x v="0"/>
  </r>
  <r>
    <n v="9"/>
    <x v="1"/>
    <s v="Thursday"/>
    <d v="2025-02-27T00:00:00"/>
    <n v="5"/>
    <x v="719"/>
    <x v="4"/>
    <x v="0"/>
    <s v="Chat disconnected"/>
    <x v="1"/>
  </r>
  <r>
    <n v="9"/>
    <x v="1"/>
    <s v="Thursday"/>
    <d v="2025-02-27T00:00:00"/>
    <n v="6"/>
    <x v="720"/>
    <x v="3"/>
    <x v="1"/>
    <s v="Open TT"/>
    <x v="0"/>
  </r>
  <r>
    <n v="9"/>
    <x v="1"/>
    <s v="Thursday"/>
    <d v="2025-02-27T00:00:00"/>
    <n v="7"/>
    <x v="711"/>
    <x v="2"/>
    <x v="1"/>
    <s v="Missed pickup"/>
    <x v="1"/>
  </r>
  <r>
    <n v="9"/>
    <x v="1"/>
    <s v="Thursday"/>
    <d v="2025-02-27T00:00:00"/>
    <n v="8"/>
    <x v="721"/>
    <x v="2"/>
    <x v="1"/>
    <s v="Pan european program"/>
    <x v="0"/>
  </r>
  <r>
    <n v="9"/>
    <x v="1"/>
    <s v="Thursday"/>
    <d v="2025-02-27T00:00:00"/>
    <n v="9"/>
    <x v="722"/>
    <x v="0"/>
    <x v="0"/>
    <s v="MP DE"/>
    <x v="1"/>
  </r>
  <r>
    <n v="9"/>
    <x v="1"/>
    <s v="Thursday"/>
    <d v="2025-02-27T00:00:00"/>
    <n v="10"/>
    <x v="723"/>
    <x v="3"/>
    <x v="1"/>
    <s v="Open TT"/>
    <x v="0"/>
  </r>
  <r>
    <n v="9"/>
    <x v="1"/>
    <s v="Thursday"/>
    <d v="2025-02-27T00:00:00"/>
    <n v="11"/>
    <x v="724"/>
    <x v="2"/>
    <x v="1"/>
    <s v="Convert listing in bulk"/>
    <x v="1"/>
  </r>
  <r>
    <n v="9"/>
    <x v="1"/>
    <s v="Thursday"/>
    <d v="2025-02-27T00:00:00"/>
    <n v="12"/>
    <x v="725"/>
    <x v="3"/>
    <x v="1"/>
    <s v="Open TT"/>
    <x v="1"/>
  </r>
  <r>
    <n v="9"/>
    <x v="1"/>
    <s v="Thursday"/>
    <d v="2025-02-27T00:00:00"/>
    <n v="13"/>
    <x v="726"/>
    <x v="3"/>
    <x v="1"/>
    <s v="Open TT"/>
    <x v="1"/>
  </r>
  <r>
    <n v="9"/>
    <x v="1"/>
    <s v="Thursday"/>
    <d v="2025-02-27T00:00:00"/>
    <n v="14"/>
    <x v="727"/>
    <x v="2"/>
    <x v="0"/>
    <s v="Contents tab"/>
    <x v="1"/>
  </r>
  <r>
    <n v="9"/>
    <x v="1"/>
    <s v="Thursday"/>
    <d v="2025-02-27T00:00:00"/>
    <n v="15"/>
    <x v="728"/>
    <x v="2"/>
    <x v="1"/>
    <s v="Orders"/>
    <x v="1"/>
  </r>
  <r>
    <n v="9"/>
    <x v="1"/>
    <s v="Thursday"/>
    <d v="2025-02-27T00:00:00"/>
    <n v="16"/>
    <x v="729"/>
    <x v="1"/>
    <x v="0"/>
    <s v="Req info"/>
    <x v="1"/>
  </r>
  <r>
    <n v="9"/>
    <x v="1"/>
    <s v="Thursday"/>
    <d v="2025-02-27T00:00:00"/>
    <n v="17"/>
    <x v="730"/>
    <x v="2"/>
    <x v="1"/>
    <s v="Customer return"/>
    <x v="1"/>
  </r>
  <r>
    <n v="9"/>
    <x v="1"/>
    <s v="Thursday"/>
    <d v="2025-02-27T00:00:00"/>
    <n v="18"/>
    <x v="731"/>
    <x v="3"/>
    <x v="1"/>
    <s v="Open TT"/>
    <x v="1"/>
  </r>
  <r>
    <n v="9"/>
    <x v="1"/>
    <s v="Thursday"/>
    <d v="2025-02-27T00:00:00"/>
    <n v="19"/>
    <x v="732"/>
    <x v="2"/>
    <x v="2"/>
    <s v="A+ content"/>
    <x v="1"/>
  </r>
  <r>
    <n v="9"/>
    <x v="1"/>
    <s v="Thursday"/>
    <d v="2025-02-27T00:00:00"/>
    <n v="20"/>
    <x v="733"/>
    <x v="3"/>
    <x v="1"/>
    <s v="WD"/>
    <x v="1"/>
  </r>
  <r>
    <n v="9"/>
    <x v="1"/>
    <s v="Thursday"/>
    <d v="2025-02-27T00:00:00"/>
    <n v="21"/>
    <x v="734"/>
    <x v="2"/>
    <x v="1"/>
    <s v="Damaged inventory"/>
    <x v="1"/>
  </r>
  <r>
    <n v="9"/>
    <x v="1"/>
    <s v="Thursday"/>
    <d v="2025-02-27T00:00:00"/>
    <n v="22"/>
    <x v="705"/>
    <x v="0"/>
    <x v="1"/>
    <s v="FFTD"/>
    <x v="1"/>
  </r>
  <r>
    <n v="9"/>
    <x v="1"/>
    <s v="Thursday"/>
    <d v="2025-02-27T00:00:00"/>
    <n v="23"/>
    <x v="727"/>
    <x v="2"/>
    <x v="0"/>
    <s v="Merged case"/>
    <x v="1"/>
  </r>
  <r>
    <n v="9"/>
    <x v="1"/>
    <s v="Thursday"/>
    <d v="2025-02-27T00:00:00"/>
    <n v="24"/>
    <x v="735"/>
    <x v="4"/>
    <x v="1"/>
    <s v="Receiving"/>
    <x v="1"/>
  </r>
  <r>
    <n v="9"/>
    <x v="1"/>
    <s v="Thursday"/>
    <d v="2025-02-27T00:00:00"/>
    <n v="25"/>
    <x v="736"/>
    <x v="2"/>
    <x v="1"/>
    <s v="Merged case"/>
    <x v="1"/>
  </r>
  <r>
    <n v="9"/>
    <x v="1"/>
    <s v="Thursday"/>
    <d v="2025-02-27T00:00:00"/>
    <n v="26"/>
    <x v="737"/>
    <x v="2"/>
    <x v="1"/>
    <s v="Receiving"/>
    <x v="0"/>
  </r>
  <r>
    <n v="9"/>
    <x v="1"/>
    <s v="Thursday"/>
    <d v="2025-02-27T00:00:00"/>
    <n v="27"/>
    <x v="738"/>
    <x v="2"/>
    <x v="0"/>
    <s v="Receiving"/>
    <x v="1"/>
  </r>
  <r>
    <n v="9"/>
    <x v="1"/>
    <s v="Thursday"/>
    <d v="2025-02-27T00:00:00"/>
    <n v="28"/>
    <x v="739"/>
    <x v="0"/>
    <x v="0"/>
    <s v="Reopen req - shipment"/>
    <x v="1"/>
  </r>
  <r>
    <n v="9"/>
    <x v="1"/>
    <s v="Thursday"/>
    <d v="2025-02-27T00:00:00"/>
    <n v="29"/>
    <x v="740"/>
    <x v="3"/>
    <x v="1"/>
    <s v="WD"/>
    <x v="1"/>
  </r>
  <r>
    <n v="9"/>
    <x v="1"/>
    <s v="Friday"/>
    <d v="2025-02-28T00:00:00"/>
    <n v="1"/>
    <x v="741"/>
    <x v="2"/>
    <x v="0"/>
    <s v="Reimbursed"/>
    <x v="1"/>
  </r>
  <r>
    <n v="9"/>
    <x v="1"/>
    <s v="Friday"/>
    <d v="2025-02-28T00:00:00"/>
    <n v="2"/>
    <x v="742"/>
    <x v="2"/>
    <x v="1"/>
    <s v="WD"/>
    <x v="1"/>
  </r>
  <r>
    <n v="9"/>
    <x v="1"/>
    <s v="Friday"/>
    <d v="2025-02-28T00:00:00"/>
    <n v="3"/>
    <x v="743"/>
    <x v="3"/>
    <x v="2"/>
    <s v="Open TT"/>
    <x v="0"/>
  </r>
  <r>
    <n v="9"/>
    <x v="1"/>
    <s v="Friday"/>
    <d v="2025-02-28T00:00:00"/>
    <n v="4"/>
    <x v="744"/>
    <x v="3"/>
    <x v="1"/>
    <s v="Open TT"/>
    <x v="1"/>
  </r>
  <r>
    <n v="9"/>
    <x v="1"/>
    <s v="Friday"/>
    <d v="2025-02-28T00:00:00"/>
    <n v="5"/>
    <x v="745"/>
    <x v="2"/>
    <x v="1"/>
    <s v="Explain charges"/>
    <x v="1"/>
  </r>
  <r>
    <n v="9"/>
    <x v="1"/>
    <s v="Friday"/>
    <d v="2025-02-28T00:00:00"/>
    <n v="6"/>
    <x v="746"/>
    <x v="0"/>
    <x v="2"/>
    <s v="Arabic support"/>
    <x v="0"/>
  </r>
  <r>
    <n v="9"/>
    <x v="1"/>
    <s v="Friday"/>
    <d v="2025-02-28T00:00:00"/>
    <n v="7"/>
    <x v="747"/>
    <x v="4"/>
    <x v="1"/>
    <s v="Customer return"/>
    <x v="1"/>
  </r>
  <r>
    <n v="9"/>
    <x v="1"/>
    <s v="Friday"/>
    <d v="2025-02-28T00:00:00"/>
    <n v="8"/>
    <x v="748"/>
    <x v="2"/>
    <x v="1"/>
    <s v="Re-evaluation request"/>
    <x v="1"/>
  </r>
  <r>
    <n v="9"/>
    <x v="1"/>
    <s v="Friday"/>
    <d v="2025-02-28T00:00:00"/>
    <n v="9"/>
    <x v="749"/>
    <x v="2"/>
    <x v="0"/>
    <s v="Merged case"/>
    <x v="1"/>
  </r>
  <r>
    <n v="9"/>
    <x v="1"/>
    <s v="Friday"/>
    <d v="2025-02-28T00:00:00"/>
    <n v="10"/>
    <x v="750"/>
    <x v="2"/>
    <x v="0"/>
    <s v="Receiving"/>
    <x v="1"/>
  </r>
  <r>
    <n v="9"/>
    <x v="1"/>
    <s v="Friday"/>
    <d v="2025-02-28T00:00:00"/>
    <n v="11"/>
    <x v="751"/>
    <x v="2"/>
    <x v="1"/>
    <s v="Removal Order"/>
    <x v="0"/>
  </r>
  <r>
    <n v="9"/>
    <x v="1"/>
    <s v="Friday"/>
    <d v="2025-02-28T00:00:00"/>
    <n v="12"/>
    <x v="752"/>
    <x v="2"/>
    <x v="0"/>
    <s v="Reconciled"/>
    <x v="1"/>
  </r>
  <r>
    <n v="9"/>
    <x v="1"/>
    <s v="Friday"/>
    <d v="2025-02-28T00:00:00"/>
    <n v="13"/>
    <x v="753"/>
    <x v="2"/>
    <x v="1"/>
    <s v="Removal Order"/>
    <x v="1"/>
  </r>
  <r>
    <n v="9"/>
    <x v="1"/>
    <s v="Friday"/>
    <d v="2025-02-28T00:00:00"/>
    <n v="14"/>
    <x v="754"/>
    <x v="0"/>
    <x v="1"/>
    <s v="Restricted ASIN"/>
    <x v="1"/>
  </r>
  <r>
    <n v="9"/>
    <x v="1"/>
    <s v="Friday"/>
    <d v="2025-02-28T00:00:00"/>
    <n v="15"/>
    <x v="755"/>
    <x v="3"/>
    <x v="1"/>
    <s v="PO flip"/>
    <x v="1"/>
  </r>
  <r>
    <n v="9"/>
    <x v="1"/>
    <s v="Friday"/>
    <d v="2025-02-28T00:00:00"/>
    <n v="16"/>
    <x v="756"/>
    <x v="2"/>
    <x v="1"/>
    <s v="Create shipment"/>
    <x v="1"/>
  </r>
  <r>
    <n v="9"/>
    <x v="1"/>
    <s v="Friday"/>
    <d v="2025-02-28T00:00:00"/>
    <n v="17"/>
    <x v="757"/>
    <x v="2"/>
    <x v="1"/>
    <s v="Hazmat"/>
    <x v="0"/>
  </r>
  <r>
    <n v="9"/>
    <x v="1"/>
    <s v="Friday"/>
    <d v="2025-02-28T00:00:00"/>
    <n v="18"/>
    <x v="758"/>
    <x v="1"/>
    <x v="0"/>
    <s v="Invoice"/>
    <x v="1"/>
  </r>
  <r>
    <n v="9"/>
    <x v="1"/>
    <s v="Friday"/>
    <d v="2025-02-28T00:00:00"/>
    <n v="19"/>
    <x v="759"/>
    <x v="2"/>
    <x v="1"/>
    <s v="Cancel order"/>
    <x v="0"/>
  </r>
  <r>
    <n v="9"/>
    <x v="1"/>
    <s v="Friday"/>
    <d v="2025-02-28T00:00:00"/>
    <n v="20"/>
    <x v="760"/>
    <x v="2"/>
    <x v="0"/>
    <s v="Item Ineligible"/>
    <x v="1"/>
  </r>
  <r>
    <n v="9"/>
    <x v="1"/>
    <s v="Friday"/>
    <d v="2025-02-28T00:00:00"/>
    <n v="1"/>
    <x v="761"/>
    <x v="3"/>
    <x v="1"/>
    <s v="WD"/>
    <x v="1"/>
  </r>
  <r>
    <n v="9"/>
    <x v="1"/>
    <s v="Friday"/>
    <d v="2025-02-28T00:00:00"/>
    <n v="2"/>
    <x v="762"/>
    <x v="1"/>
    <x v="1"/>
    <s v="Carrier Damaged"/>
    <x v="1"/>
  </r>
  <r>
    <n v="9"/>
    <x v="1"/>
    <s v="Friday"/>
    <d v="2025-02-28T00:00:00"/>
    <n v="3"/>
    <x v="763"/>
    <x v="2"/>
    <x v="2"/>
    <s v="Label"/>
    <x v="1"/>
  </r>
  <r>
    <n v="9"/>
    <x v="1"/>
    <s v="Friday"/>
    <d v="2025-02-28T00:00:00"/>
    <n v="4"/>
    <x v="764"/>
    <x v="2"/>
    <x v="1"/>
    <s v="Receiving"/>
    <x v="0"/>
  </r>
  <r>
    <n v="9"/>
    <x v="1"/>
    <s v="Friday"/>
    <d v="2025-02-28T00:00:00"/>
    <n v="5"/>
    <x v="765"/>
    <x v="3"/>
    <x v="1"/>
    <s v="Open TT"/>
    <x v="1"/>
  </r>
  <r>
    <n v="9"/>
    <x v="1"/>
    <s v="Friday"/>
    <d v="2025-02-28T00:00:00"/>
    <n v="6"/>
    <x v="710"/>
    <x v="3"/>
    <x v="2"/>
    <s v="Open TT"/>
    <x v="0"/>
  </r>
  <r>
    <n v="9"/>
    <x v="1"/>
    <s v="Friday"/>
    <d v="2025-02-28T00:00:00"/>
    <n v="7"/>
    <x v="766"/>
    <x v="2"/>
    <x v="1"/>
    <s v="Report a violation"/>
    <x v="1"/>
  </r>
  <r>
    <n v="9"/>
    <x v="1"/>
    <s v="Friday"/>
    <d v="2025-02-28T00:00:00"/>
    <n v="8"/>
    <x v="767"/>
    <x v="2"/>
    <x v="0"/>
    <s v="Reimbursed"/>
    <x v="1"/>
  </r>
  <r>
    <n v="9"/>
    <x v="1"/>
    <s v="Friday"/>
    <d v="2025-02-28T00:00:00"/>
    <n v="9"/>
    <x v="768"/>
    <x v="3"/>
    <x v="0"/>
    <s v="Open TT"/>
    <x v="1"/>
  </r>
  <r>
    <n v="9"/>
    <x v="1"/>
    <s v="Friday"/>
    <d v="2025-02-28T00:00:00"/>
    <n v="10"/>
    <x v="573"/>
    <x v="3"/>
    <x v="1"/>
    <s v="Open TT"/>
    <x v="1"/>
  </r>
  <r>
    <n v="9"/>
    <x v="1"/>
    <s v="Friday"/>
    <d v="2025-02-28T00:00:00"/>
    <n v="11"/>
    <x v="769"/>
    <x v="0"/>
    <x v="1"/>
    <s v="Rejected Shipment"/>
    <x v="1"/>
  </r>
  <r>
    <n v="9"/>
    <x v="1"/>
    <s v="Friday"/>
    <d v="2025-02-28T00:00:00"/>
    <n v="12"/>
    <x v="770"/>
    <x v="2"/>
    <x v="0"/>
    <s v="Reimbursed"/>
    <x v="1"/>
  </r>
  <r>
    <n v="25"/>
    <x v="4"/>
    <s v="Sunday"/>
    <d v="2025-06-15T00:00:00"/>
    <n v="1"/>
    <x v="771"/>
    <x v="2"/>
    <x v="1"/>
    <s v="Reserved inventory"/>
    <x v="1"/>
  </r>
  <r>
    <n v="25"/>
    <x v="4"/>
    <s v="Sunday"/>
    <d v="2025-06-15T00:00:00"/>
    <n v="2"/>
    <x v="772"/>
    <x v="2"/>
    <x v="0"/>
    <s v="Overage"/>
    <x v="1"/>
  </r>
  <r>
    <n v="25"/>
    <x v="4"/>
    <s v="Sunday"/>
    <d v="2025-06-15T00:00:00"/>
    <n v="3"/>
    <x v="773"/>
    <x v="3"/>
    <x v="1"/>
    <s v="Open TT"/>
    <x v="1"/>
  </r>
  <r>
    <n v="25"/>
    <x v="4"/>
    <s v="Sunday"/>
    <d v="2025-06-15T00:00:00"/>
    <n v="4"/>
    <x v="774"/>
    <x v="2"/>
    <x v="1"/>
    <s v="Orders"/>
    <x v="1"/>
  </r>
  <r>
    <n v="25"/>
    <x v="4"/>
    <s v="Sunday"/>
    <d v="2025-06-15T00:00:00"/>
    <n v="5"/>
    <x v="775"/>
    <x v="2"/>
    <x v="0"/>
    <s v="Item Ineligible"/>
    <x v="1"/>
  </r>
  <r>
    <n v="25"/>
    <x v="4"/>
    <s v="Sunday"/>
    <d v="2025-06-15T00:00:00"/>
    <n v="6"/>
    <x v="776"/>
    <x v="0"/>
    <x v="2"/>
    <s v="2-Step verification"/>
    <x v="1"/>
  </r>
  <r>
    <n v="25"/>
    <x v="4"/>
    <s v="Sunday"/>
    <d v="2025-06-15T00:00:00"/>
    <n v="7"/>
    <x v="775"/>
    <x v="2"/>
    <x v="0"/>
    <s v="Item Ineligible"/>
    <x v="1"/>
  </r>
  <r>
    <n v="25"/>
    <x v="4"/>
    <s v="Sunday"/>
    <d v="2025-06-15T00:00:00"/>
    <n v="8"/>
    <x v="775"/>
    <x v="2"/>
    <x v="0"/>
    <s v="Item Ineligible"/>
    <x v="1"/>
  </r>
  <r>
    <n v="25"/>
    <x v="4"/>
    <s v="Sunday"/>
    <d v="2025-06-15T00:00:00"/>
    <n v="9"/>
    <x v="775"/>
    <x v="2"/>
    <x v="0"/>
    <s v="Item Ineligible"/>
    <x v="1"/>
  </r>
  <r>
    <n v="25"/>
    <x v="4"/>
    <s v="Sunday"/>
    <d v="2025-06-15T00:00:00"/>
    <n v="10"/>
    <x v="777"/>
    <x v="3"/>
    <x v="1"/>
    <s v="Lost inventory"/>
    <x v="1"/>
  </r>
  <r>
    <n v="25"/>
    <x v="4"/>
    <s v="Sunday"/>
    <d v="2025-06-15T00:00:00"/>
    <n v="11"/>
    <x v="778"/>
    <x v="3"/>
    <x v="1"/>
    <s v="Missed pickup"/>
    <x v="1"/>
  </r>
  <r>
    <n v="25"/>
    <x v="4"/>
    <s v="Sunday"/>
    <d v="2025-06-15T00:00:00"/>
    <n v="12"/>
    <x v="779"/>
    <x v="3"/>
    <x v="0"/>
    <s v="Contacted carrier"/>
    <x v="1"/>
  </r>
  <r>
    <n v="25"/>
    <x v="4"/>
    <s v="Sunday"/>
    <d v="2025-06-15T00:00:00"/>
    <n v="13"/>
    <x v="780"/>
    <x v="2"/>
    <x v="1"/>
    <s v="Feedback removal req"/>
    <x v="1"/>
  </r>
  <r>
    <n v="25"/>
    <x v="4"/>
    <s v="Sunday"/>
    <d v="2025-06-15T00:00:00"/>
    <n v="14"/>
    <x v="781"/>
    <x v="2"/>
    <x v="1"/>
    <s v="Featured offer"/>
    <x v="1"/>
  </r>
  <r>
    <n v="25"/>
    <x v="4"/>
    <s v="Sunday"/>
    <d v="2025-06-15T00:00:00"/>
    <n v="15"/>
    <x v="782"/>
    <x v="2"/>
    <x v="0"/>
    <s v="Item Ineligible"/>
    <x v="0"/>
  </r>
  <r>
    <n v="25"/>
    <x v="4"/>
    <s v="Monday"/>
    <d v="2025-06-16T00:00:00"/>
    <n v="1"/>
    <x v="783"/>
    <x v="2"/>
    <x v="1"/>
    <s v="Reserved inventory"/>
    <x v="1"/>
  </r>
  <r>
    <n v="25"/>
    <x v="4"/>
    <s v="Monday"/>
    <d v="2025-06-16T00:00:00"/>
    <n v="2"/>
    <x v="784"/>
    <x v="1"/>
    <x v="1"/>
    <s v="Chat disconnected"/>
    <x v="1"/>
  </r>
  <r>
    <n v="25"/>
    <x v="4"/>
    <s v="Monday"/>
    <d v="2025-06-16T00:00:00"/>
    <n v="3"/>
    <x v="785"/>
    <x v="2"/>
    <x v="2"/>
    <s v="Product review"/>
    <x v="1"/>
  </r>
  <r>
    <n v="25"/>
    <x v="4"/>
    <s v="Monday"/>
    <d v="2025-06-16T00:00:00"/>
    <n v="4"/>
    <x v="786"/>
    <x v="2"/>
    <x v="1"/>
    <s v="Update business address"/>
    <x v="1"/>
  </r>
  <r>
    <n v="25"/>
    <x v="4"/>
    <s v="Monday"/>
    <d v="2025-06-16T00:00:00"/>
    <n v="5"/>
    <x v="787"/>
    <x v="2"/>
    <x v="1"/>
    <s v="Removal Order"/>
    <x v="1"/>
  </r>
  <r>
    <n v="25"/>
    <x v="4"/>
    <s v="Monday"/>
    <d v="2025-06-16T00:00:00"/>
    <n v="6"/>
    <x v="788"/>
    <x v="1"/>
    <x v="1"/>
    <s v="Removal Order"/>
    <x v="1"/>
  </r>
  <r>
    <n v="25"/>
    <x v="4"/>
    <s v="Monday"/>
    <d v="2025-06-16T00:00:00"/>
    <n v="7"/>
    <x v="789"/>
    <x v="2"/>
    <x v="2"/>
    <s v="Frequently returned item"/>
    <x v="1"/>
  </r>
  <r>
    <n v="25"/>
    <x v="4"/>
    <s v="Monday"/>
    <d v="2025-06-16T00:00:00"/>
    <n v="8"/>
    <x v="790"/>
    <x v="3"/>
    <x v="1"/>
    <s v="PO flip"/>
    <x v="1"/>
  </r>
  <r>
    <n v="25"/>
    <x v="4"/>
    <s v="Monday"/>
    <d v="2025-06-16T00:00:00"/>
    <n v="9"/>
    <x v="791"/>
    <x v="3"/>
    <x v="1"/>
    <s v="Reserved inventory"/>
    <x v="1"/>
  </r>
  <r>
    <n v="25"/>
    <x v="4"/>
    <s v="Monday"/>
    <d v="2025-06-16T00:00:00"/>
    <n v="10"/>
    <x v="792"/>
    <x v="2"/>
    <x v="2"/>
    <s v="Safe-T claim"/>
    <x v="1"/>
  </r>
  <r>
    <n v="25"/>
    <x v="4"/>
    <s v="Monday"/>
    <d v="2025-06-16T00:00:00"/>
    <n v="11"/>
    <x v="793"/>
    <x v="3"/>
    <x v="1"/>
    <s v="Lost inventory"/>
    <x v="1"/>
  </r>
  <r>
    <n v="25"/>
    <x v="4"/>
    <s v="Monday"/>
    <d v="2025-06-16T00:00:00"/>
    <n v="12"/>
    <x v="794"/>
    <x v="2"/>
    <x v="0"/>
    <s v="Ineligible"/>
    <x v="1"/>
  </r>
  <r>
    <n v="25"/>
    <x v="4"/>
    <s v="Monday"/>
    <d v="2025-06-16T00:00:00"/>
    <n v="13"/>
    <x v="795"/>
    <x v="2"/>
    <x v="1"/>
    <s v="Missed pickup"/>
    <x v="1"/>
  </r>
  <r>
    <n v="25"/>
    <x v="4"/>
    <s v="Monday"/>
    <d v="2025-06-16T00:00:00"/>
    <n v="14"/>
    <x v="796"/>
    <x v="3"/>
    <x v="1"/>
    <s v="Open TT"/>
    <x v="1"/>
  </r>
  <r>
    <n v="25"/>
    <x v="4"/>
    <s v="Monday"/>
    <d v="2025-06-16T00:00:00"/>
    <n v="15"/>
    <x v="797"/>
    <x v="2"/>
    <x v="0"/>
    <s v="Contents tab"/>
    <x v="1"/>
  </r>
  <r>
    <n v="25"/>
    <x v="4"/>
    <s v="Monday"/>
    <d v="2025-06-16T00:00:00"/>
    <n v="16"/>
    <x v="798"/>
    <x v="2"/>
    <x v="2"/>
    <s v="AtoZ claim"/>
    <x v="0"/>
  </r>
  <r>
    <n v="25"/>
    <x v="4"/>
    <s v="Monday"/>
    <d v="2025-06-16T00:00:00"/>
    <n v="17"/>
    <x v="793"/>
    <x v="2"/>
    <x v="1"/>
    <s v="Lost inventory"/>
    <x v="1"/>
  </r>
  <r>
    <n v="25"/>
    <x v="4"/>
    <s v="Monday"/>
    <d v="2025-06-16T00:00:00"/>
    <n v="18"/>
    <x v="799"/>
    <x v="2"/>
    <x v="0"/>
    <s v="Overage"/>
    <x v="1"/>
  </r>
  <r>
    <n v="25"/>
    <x v="4"/>
    <s v="Monday"/>
    <d v="2025-06-16T00:00:00"/>
    <n v="19"/>
    <x v="800"/>
    <x v="4"/>
    <x v="1"/>
    <s v="Removal Order"/>
    <x v="0"/>
  </r>
  <r>
    <n v="25"/>
    <x v="4"/>
    <s v="Monday"/>
    <d v="2025-06-16T00:00:00"/>
    <n v="20"/>
    <x v="801"/>
    <x v="1"/>
    <x v="0"/>
    <s v="Invoice"/>
    <x v="0"/>
  </r>
  <r>
    <n v="25"/>
    <x v="4"/>
    <s v="Monday"/>
    <d v="2025-06-16T00:00:00"/>
    <n v="21"/>
    <x v="802"/>
    <x v="2"/>
    <x v="1"/>
    <s v="Damaged inventory"/>
    <x v="1"/>
  </r>
  <r>
    <n v="25"/>
    <x v="4"/>
    <s v="Monday"/>
    <d v="2025-06-16T00:00:00"/>
    <n v="22"/>
    <x v="803"/>
    <x v="2"/>
    <x v="0"/>
    <s v="Contents tab"/>
    <x v="1"/>
  </r>
  <r>
    <n v="25"/>
    <x v="4"/>
    <s v="Monday"/>
    <d v="2025-06-16T00:00:00"/>
    <n v="23"/>
    <x v="804"/>
    <x v="2"/>
    <x v="1"/>
    <s v="Removal Order"/>
    <x v="0"/>
  </r>
  <r>
    <n v="25"/>
    <x v="4"/>
    <s v="Monday"/>
    <d v="2025-06-16T00:00:00"/>
    <n v="24"/>
    <x v="805"/>
    <x v="2"/>
    <x v="1"/>
    <s v="Voice of the customer"/>
    <x v="1"/>
  </r>
  <r>
    <n v="25"/>
    <x v="4"/>
    <s v="Monday"/>
    <d v="2025-06-16T00:00:00"/>
    <n v="25"/>
    <x v="806"/>
    <x v="2"/>
    <x v="1"/>
    <s v="Pan european program"/>
    <x v="1"/>
  </r>
  <r>
    <n v="25"/>
    <x v="4"/>
    <s v="Monday"/>
    <d v="2025-06-16T00:00:00"/>
    <n v="26"/>
    <x v="807"/>
    <x v="0"/>
    <x v="0"/>
    <s v="HV"/>
    <x v="0"/>
  </r>
  <r>
    <n v="25"/>
    <x v="4"/>
    <s v="Monday"/>
    <d v="2025-06-16T00:00:00"/>
    <n v="27"/>
    <x v="808"/>
    <x v="0"/>
    <x v="0"/>
    <s v="HV"/>
    <x v="1"/>
  </r>
  <r>
    <n v="25"/>
    <x v="4"/>
    <s v="Tuesday"/>
    <d v="2025-06-17T00:00:00"/>
    <n v="1"/>
    <x v="809"/>
    <x v="0"/>
    <x v="0"/>
    <s v="HV"/>
    <x v="1"/>
  </r>
  <r>
    <n v="25"/>
    <x v="4"/>
    <s v="Tuesday"/>
    <d v="2025-06-17T00:00:00"/>
    <n v="2"/>
    <x v="810"/>
    <x v="3"/>
    <x v="1"/>
    <s v="Easyship "/>
    <x v="1"/>
  </r>
  <r>
    <n v="25"/>
    <x v="4"/>
    <s v="Tuesday"/>
    <d v="2025-06-17T00:00:00"/>
    <n v="3"/>
    <x v="811"/>
    <x v="2"/>
    <x v="1"/>
    <s v="Removal Order"/>
    <x v="1"/>
  </r>
  <r>
    <n v="25"/>
    <x v="4"/>
    <s v="Tuesday"/>
    <d v="2025-06-17T00:00:00"/>
    <n v="4"/>
    <x v="810"/>
    <x v="2"/>
    <x v="1"/>
    <s v="Informed as per TT"/>
    <x v="1"/>
  </r>
  <r>
    <n v="25"/>
    <x v="4"/>
    <s v="Tuesday"/>
    <d v="2025-06-17T00:00:00"/>
    <n v="5"/>
    <x v="812"/>
    <x v="2"/>
    <x v="1"/>
    <s v="Defective units"/>
    <x v="1"/>
  </r>
  <r>
    <n v="25"/>
    <x v="4"/>
    <s v="Tuesday"/>
    <d v="2025-06-17T00:00:00"/>
    <n v="6"/>
    <x v="813"/>
    <x v="2"/>
    <x v="1"/>
    <s v="Status change"/>
    <x v="1"/>
  </r>
  <r>
    <n v="25"/>
    <x v="4"/>
    <s v="Tuesday"/>
    <d v="2025-06-17T00:00:00"/>
    <n v="7"/>
    <x v="814"/>
    <x v="3"/>
    <x v="1"/>
    <s v="Easyship "/>
    <x v="1"/>
  </r>
  <r>
    <n v="25"/>
    <x v="4"/>
    <s v="Tuesday"/>
    <d v="2025-06-17T00:00:00"/>
    <n v="8"/>
    <x v="815"/>
    <x v="2"/>
    <x v="0"/>
    <s v="Item Ineligible"/>
    <x v="1"/>
  </r>
  <r>
    <n v="25"/>
    <x v="4"/>
    <s v="Tuesday"/>
    <d v="2025-06-17T00:00:00"/>
    <n v="9"/>
    <x v="816"/>
    <x v="3"/>
    <x v="1"/>
    <s v="Open TT"/>
    <x v="1"/>
  </r>
  <r>
    <n v="25"/>
    <x v="4"/>
    <s v="Tuesday"/>
    <d v="2025-06-17T00:00:00"/>
    <n v="10"/>
    <x v="790"/>
    <x v="2"/>
    <x v="1"/>
    <s v="PO flip"/>
    <x v="1"/>
  </r>
  <r>
    <n v="25"/>
    <x v="4"/>
    <s v="Tuesday"/>
    <d v="2025-06-17T00:00:00"/>
    <n v="11"/>
    <x v="817"/>
    <x v="2"/>
    <x v="1"/>
    <s v="Inventory reports"/>
    <x v="1"/>
  </r>
  <r>
    <n v="25"/>
    <x v="4"/>
    <s v="Tuesday"/>
    <d v="2025-06-17T00:00:00"/>
    <n v="12"/>
    <x v="818"/>
    <x v="4"/>
    <x v="1"/>
    <s v="Chat disconnected"/>
    <x v="1"/>
  </r>
  <r>
    <n v="25"/>
    <x v="4"/>
    <s v="Tuesday"/>
    <d v="2025-06-17T00:00:00"/>
    <n v="13"/>
    <x v="819"/>
    <x v="2"/>
    <x v="0"/>
    <s v="Reimbursed"/>
    <x v="1"/>
  </r>
  <r>
    <n v="25"/>
    <x v="4"/>
    <s v="Tuesday"/>
    <d v="2025-06-17T00:00:00"/>
    <n v="14"/>
    <x v="812"/>
    <x v="2"/>
    <x v="1"/>
    <s v="Inactive listing"/>
    <x v="0"/>
  </r>
  <r>
    <n v="25"/>
    <x v="4"/>
    <s v="Tuesday"/>
    <d v="2025-06-17T00:00:00"/>
    <n v="15"/>
    <x v="820"/>
    <x v="2"/>
    <x v="1"/>
    <s v="Gated listing"/>
    <x v="1"/>
  </r>
  <r>
    <n v="25"/>
    <x v="4"/>
    <s v="Tuesday"/>
    <d v="2025-06-17T00:00:00"/>
    <n v="16"/>
    <x v="821"/>
    <x v="2"/>
    <x v="0"/>
    <s v="Reimbursed"/>
    <x v="1"/>
  </r>
  <r>
    <n v="25"/>
    <x v="4"/>
    <s v="Tuesday"/>
    <d v="2025-06-17T00:00:00"/>
    <n v="17"/>
    <x v="822"/>
    <x v="2"/>
    <x v="0"/>
    <s v="Reimbursed"/>
    <x v="1"/>
  </r>
  <r>
    <n v="25"/>
    <x v="4"/>
    <s v="Tuesday"/>
    <d v="2025-06-17T00:00:00"/>
    <n v="18"/>
    <x v="823"/>
    <x v="0"/>
    <x v="0"/>
    <s v="AE"/>
    <x v="1"/>
  </r>
  <r>
    <n v="25"/>
    <x v="4"/>
    <s v="Tuesday"/>
    <d v="2025-06-17T00:00:00"/>
    <n v="19"/>
    <x v="812"/>
    <x v="2"/>
    <x v="1"/>
    <s v="Defective units"/>
    <x v="0"/>
  </r>
  <r>
    <n v="25"/>
    <x v="4"/>
    <s v="Tuesday"/>
    <d v="2025-06-17T00:00:00"/>
    <n v="20"/>
    <x v="824"/>
    <x v="0"/>
    <x v="0"/>
    <s v="HV"/>
    <x v="1"/>
  </r>
  <r>
    <n v="25"/>
    <x v="4"/>
    <s v="Tuesday"/>
    <d v="2025-06-17T00:00:00"/>
    <n v="21"/>
    <x v="825"/>
    <x v="1"/>
    <x v="2"/>
    <s v="GTIN exemption"/>
    <x v="1"/>
  </r>
  <r>
    <n v="25"/>
    <x v="4"/>
    <s v="Tuesday"/>
    <d v="2025-06-17T00:00:00"/>
    <n v="22"/>
    <x v="826"/>
    <x v="0"/>
    <x v="1"/>
    <s v="FFTD"/>
    <x v="1"/>
  </r>
  <r>
    <n v="25"/>
    <x v="4"/>
    <s v="Tuesday"/>
    <d v="2025-06-17T00:00:00"/>
    <n v="23"/>
    <x v="827"/>
    <x v="2"/>
    <x v="2"/>
    <s v="E5461"/>
    <x v="0"/>
  </r>
  <r>
    <n v="25"/>
    <x v="4"/>
    <s v="Tuesday"/>
    <d v="2025-06-17T00:00:00"/>
    <n v="24"/>
    <x v="828"/>
    <x v="2"/>
    <x v="1"/>
    <s v="Deals"/>
    <x v="0"/>
  </r>
  <r>
    <n v="25"/>
    <x v="4"/>
    <s v="Tuesday"/>
    <d v="2025-06-17T00:00:00"/>
    <n v="25"/>
    <x v="829"/>
    <x v="2"/>
    <x v="0"/>
    <s v="Undelivered shipment"/>
    <x v="1"/>
  </r>
  <r>
    <n v="25"/>
    <x v="4"/>
    <s v="Wednesday"/>
    <d v="2025-06-18T00:00:00"/>
    <n v="1"/>
    <x v="830"/>
    <x v="2"/>
    <x v="1"/>
    <s v="Removal Order"/>
    <x v="1"/>
  </r>
  <r>
    <n v="25"/>
    <x v="4"/>
    <s v="Wednesday"/>
    <d v="2025-06-18T00:00:00"/>
    <n v="2"/>
    <x v="831"/>
    <x v="2"/>
    <x v="1"/>
    <s v="Removal Order"/>
    <x v="1"/>
  </r>
  <r>
    <n v="25"/>
    <x v="4"/>
    <s v="Wednesday"/>
    <d v="2025-06-18T00:00:00"/>
    <n v="3"/>
    <x v="832"/>
    <x v="2"/>
    <x v="0"/>
    <s v="Reimbursed"/>
    <x v="1"/>
  </r>
  <r>
    <n v="25"/>
    <x v="4"/>
    <s v="Wednesday"/>
    <d v="2025-06-18T00:00:00"/>
    <n v="4"/>
    <x v="833"/>
    <x v="1"/>
    <x v="1"/>
    <s v="Order ID"/>
    <x v="1"/>
  </r>
  <r>
    <n v="25"/>
    <x v="4"/>
    <s v="Wednesday"/>
    <d v="2025-06-18T00:00:00"/>
    <n v="5"/>
    <x v="834"/>
    <x v="1"/>
    <x v="0"/>
    <s v="PMA"/>
    <x v="0"/>
  </r>
  <r>
    <n v="25"/>
    <x v="4"/>
    <s v="Wednesday"/>
    <d v="2025-06-18T00:00:00"/>
    <n v="6"/>
    <x v="835"/>
    <x v="4"/>
    <x v="1"/>
    <s v="Chat disconnected"/>
    <x v="1"/>
  </r>
  <r>
    <n v="25"/>
    <x v="4"/>
    <s v="Wednesday"/>
    <d v="2025-06-18T00:00:00"/>
    <n v="7"/>
    <x v="836"/>
    <x v="0"/>
    <x v="0"/>
    <s v="ILAC"/>
    <x v="1"/>
  </r>
  <r>
    <n v="25"/>
    <x v="4"/>
    <s v="Wednesday"/>
    <d v="2025-06-18T00:00:00"/>
    <n v="8"/>
    <x v="837"/>
    <x v="3"/>
    <x v="1"/>
    <s v="Easyship "/>
    <x v="1"/>
  </r>
  <r>
    <n v="25"/>
    <x v="4"/>
    <s v="Wednesday"/>
    <d v="2025-06-18T00:00:00"/>
    <n v="9"/>
    <x v="838"/>
    <x v="2"/>
    <x v="0"/>
    <s v="Contents tab"/>
    <x v="0"/>
  </r>
  <r>
    <n v="25"/>
    <x v="4"/>
    <s v="Wednesday"/>
    <d v="2025-06-18T00:00:00"/>
    <n v="10"/>
    <x v="839"/>
    <x v="2"/>
    <x v="1"/>
    <s v="Removal Order"/>
    <x v="0"/>
  </r>
  <r>
    <n v="25"/>
    <x v="4"/>
    <s v="Wednesday"/>
    <d v="2025-06-18T00:00:00"/>
    <n v="11"/>
    <x v="840"/>
    <x v="2"/>
    <x v="1"/>
    <s v="BIL"/>
    <x v="1"/>
  </r>
  <r>
    <n v="25"/>
    <x v="4"/>
    <s v="Wednesday"/>
    <d v="2025-06-18T00:00:00"/>
    <n v="12"/>
    <x v="841"/>
    <x v="2"/>
    <x v="1"/>
    <s v="Cancel order"/>
    <x v="1"/>
  </r>
  <r>
    <n v="25"/>
    <x v="4"/>
    <s v="Wednesday"/>
    <d v="2025-06-18T00:00:00"/>
    <n v="13"/>
    <x v="842"/>
    <x v="2"/>
    <x v="0"/>
    <s v="Shipment not closed"/>
    <x v="1"/>
  </r>
  <r>
    <n v="25"/>
    <x v="4"/>
    <s v="Wednesday"/>
    <d v="2025-06-18T00:00:00"/>
    <n v="14"/>
    <x v="843"/>
    <x v="3"/>
    <x v="1"/>
    <s v="Unauthorised inventory"/>
    <x v="1"/>
  </r>
  <r>
    <n v="25"/>
    <x v="4"/>
    <s v="Wednesday"/>
    <d v="2025-06-18T00:00:00"/>
    <n v="15"/>
    <x v="844"/>
    <x v="2"/>
    <x v="2"/>
    <s v="Documents"/>
    <x v="1"/>
  </r>
  <r>
    <n v="25"/>
    <x v="4"/>
    <s v="Wednesday"/>
    <d v="2025-06-18T00:00:00"/>
    <n v="16"/>
    <x v="803"/>
    <x v="2"/>
    <x v="0"/>
    <s v="Contents tab"/>
    <x v="1"/>
  </r>
  <r>
    <n v="25"/>
    <x v="4"/>
    <s v="Wednesday"/>
    <d v="2025-06-18T00:00:00"/>
    <n v="17"/>
    <x v="845"/>
    <x v="2"/>
    <x v="2"/>
    <s v="E5461"/>
    <x v="1"/>
  </r>
  <r>
    <n v="25"/>
    <x v="4"/>
    <s v="Wednesday"/>
    <d v="2025-06-18T00:00:00"/>
    <n v="18"/>
    <x v="846"/>
    <x v="0"/>
    <x v="2"/>
    <s v="IIDP"/>
    <x v="0"/>
  </r>
  <r>
    <n v="25"/>
    <x v="4"/>
    <s v="Wednesday"/>
    <d v="2025-06-18T00:00:00"/>
    <n v="19"/>
    <x v="847"/>
    <x v="2"/>
    <x v="1"/>
    <s v="Hazmat"/>
    <x v="0"/>
  </r>
  <r>
    <n v="25"/>
    <x v="4"/>
    <s v="Wednesday"/>
    <d v="2025-06-18T00:00:00"/>
    <n v="20"/>
    <x v="848"/>
    <x v="3"/>
    <x v="1"/>
    <s v="RMS"/>
    <x v="1"/>
  </r>
  <r>
    <n v="25"/>
    <x v="4"/>
    <s v="Wednesday"/>
    <d v="2025-06-18T00:00:00"/>
    <n v="21"/>
    <x v="849"/>
    <x v="2"/>
    <x v="1"/>
    <s v="ASIN remap"/>
    <x v="1"/>
  </r>
  <r>
    <n v="25"/>
    <x v="4"/>
    <s v="Wednesday"/>
    <d v="2025-06-18T00:00:00"/>
    <n v="22"/>
    <x v="850"/>
    <x v="1"/>
    <x v="1"/>
    <s v="Deals"/>
    <x v="1"/>
  </r>
  <r>
    <n v="25"/>
    <x v="4"/>
    <s v="Wednesday"/>
    <d v="2025-06-18T00:00:00"/>
    <n v="23"/>
    <x v="851"/>
    <x v="2"/>
    <x v="1"/>
    <s v="Featured offer"/>
    <x v="1"/>
  </r>
  <r>
    <n v="25"/>
    <x v="4"/>
    <s v="Wednesday"/>
    <d v="2025-06-18T00:00:00"/>
    <n v="24"/>
    <x v="852"/>
    <x v="1"/>
    <x v="1"/>
    <s v="Removal Order"/>
    <x v="1"/>
  </r>
  <r>
    <n v="25"/>
    <x v="4"/>
    <s v="Thursday"/>
    <d v="2025-06-19T00:00:00"/>
    <n v="1"/>
    <x v="853"/>
    <x v="1"/>
    <x v="1"/>
    <s v="FC address"/>
    <x v="1"/>
  </r>
  <r>
    <n v="25"/>
    <x v="4"/>
    <s v="Thursday"/>
    <d v="2025-06-19T00:00:00"/>
    <n v="2"/>
    <x v="854"/>
    <x v="2"/>
    <x v="2"/>
    <s v="Category Listing Report"/>
    <x v="1"/>
  </r>
  <r>
    <n v="25"/>
    <x v="4"/>
    <s v="Thursday"/>
    <d v="2025-06-19T00:00:00"/>
    <n v="3"/>
    <x v="855"/>
    <x v="2"/>
    <x v="0"/>
    <s v="Already reimbursed"/>
    <x v="0"/>
  </r>
  <r>
    <n v="25"/>
    <x v="4"/>
    <s v="Thursday"/>
    <d v="2025-06-19T00:00:00"/>
    <n v="4"/>
    <x v="856"/>
    <x v="0"/>
    <x v="0"/>
    <s v="HV"/>
    <x v="1"/>
  </r>
  <r>
    <n v="25"/>
    <x v="4"/>
    <s v="Thursday"/>
    <d v="2025-06-19T00:00:00"/>
    <n v="5"/>
    <x v="857"/>
    <x v="0"/>
    <x v="2"/>
    <s v="Account Level Reserve"/>
    <x v="1"/>
  </r>
  <r>
    <n v="25"/>
    <x v="4"/>
    <s v="Thursday"/>
    <d v="2025-06-19T00:00:00"/>
    <n v="6"/>
    <x v="858"/>
    <x v="2"/>
    <x v="2"/>
    <s v="VAT "/>
    <x v="1"/>
  </r>
  <r>
    <n v="25"/>
    <x v="4"/>
    <s v="Thursday"/>
    <d v="2025-06-19T00:00:00"/>
    <n v="7"/>
    <x v="859"/>
    <x v="3"/>
    <x v="1"/>
    <s v="WD"/>
    <x v="1"/>
  </r>
  <r>
    <n v="25"/>
    <x v="4"/>
    <s v="Thursday"/>
    <d v="2025-06-19T00:00:00"/>
    <n v="8"/>
    <x v="860"/>
    <x v="2"/>
    <x v="1"/>
    <s v="Self ship"/>
    <x v="1"/>
  </r>
  <r>
    <n v="25"/>
    <x v="4"/>
    <s v="Thursday"/>
    <d v="2025-06-19T00:00:00"/>
    <n v="9"/>
    <x v="861"/>
    <x v="2"/>
    <x v="1"/>
    <s v="Re-print label"/>
    <x v="1"/>
  </r>
  <r>
    <n v="25"/>
    <x v="4"/>
    <s v="Thursday"/>
    <d v="2025-06-19T00:00:00"/>
    <n v="10"/>
    <x v="862"/>
    <x v="2"/>
    <x v="1"/>
    <s v="ASIN remap"/>
    <x v="1"/>
  </r>
  <r>
    <n v="25"/>
    <x v="4"/>
    <s v="Thursday"/>
    <d v="2025-06-19T00:00:00"/>
    <n v="11"/>
    <x v="863"/>
    <x v="3"/>
    <x v="1"/>
    <s v="Open TT"/>
    <x v="1"/>
  </r>
  <r>
    <n v="25"/>
    <x v="4"/>
    <s v="Thursday"/>
    <d v="2025-06-19T00:00:00"/>
    <n v="12"/>
    <x v="864"/>
    <x v="2"/>
    <x v="0"/>
    <s v="Contents tab"/>
    <x v="1"/>
  </r>
  <r>
    <n v="25"/>
    <x v="4"/>
    <s v="Thursday"/>
    <d v="2025-06-19T00:00:00"/>
    <n v="13"/>
    <x v="865"/>
    <x v="0"/>
    <x v="2"/>
    <s v="Feeds"/>
    <x v="1"/>
  </r>
  <r>
    <n v="25"/>
    <x v="4"/>
    <s v="Thursday"/>
    <d v="2025-06-19T00:00:00"/>
    <n v="14"/>
    <x v="866"/>
    <x v="2"/>
    <x v="0"/>
    <s v="Merged case"/>
    <x v="1"/>
  </r>
  <r>
    <n v="25"/>
    <x v="4"/>
    <s v="Thursday"/>
    <d v="2025-06-19T00:00:00"/>
    <n v="15"/>
    <x v="867"/>
    <x v="2"/>
    <x v="0"/>
    <s v="Reimbursed"/>
    <x v="1"/>
  </r>
  <r>
    <n v="25"/>
    <x v="4"/>
    <s v="Thursday"/>
    <d v="2025-06-19T00:00:00"/>
    <n v="16"/>
    <x v="868"/>
    <x v="3"/>
    <x v="1"/>
    <s v="Open TT"/>
    <x v="1"/>
  </r>
  <r>
    <n v="25"/>
    <x v="4"/>
    <s v="Thursday"/>
    <d v="2025-06-19T00:00:00"/>
    <n v="17"/>
    <x v="837"/>
    <x v="2"/>
    <x v="1"/>
    <s v="Easyship "/>
    <x v="0"/>
  </r>
  <r>
    <n v="25"/>
    <x v="4"/>
    <s v="Thursday"/>
    <d v="2025-06-19T00:00:00"/>
    <n v="18"/>
    <x v="852"/>
    <x v="2"/>
    <x v="1"/>
    <s v="Reimbursed"/>
    <x v="1"/>
  </r>
  <r>
    <n v="25"/>
    <x v="4"/>
    <s v="Thursday"/>
    <d v="2025-06-19T00:00:00"/>
    <n v="19"/>
    <x v="829"/>
    <x v="1"/>
    <x v="0"/>
    <s v="Invoice"/>
    <x v="1"/>
  </r>
  <r>
    <n v="25"/>
    <x v="4"/>
    <s v="Thursday"/>
    <d v="2025-06-19T00:00:00"/>
    <n v="20"/>
    <x v="843"/>
    <x v="3"/>
    <x v="1"/>
    <s v="Open TT"/>
    <x v="0"/>
  </r>
  <r>
    <n v="25"/>
    <x v="4"/>
    <s v="Thursday"/>
    <d v="2025-06-19T00:00:00"/>
    <n v="21"/>
    <x v="869"/>
    <x v="0"/>
    <x v="2"/>
    <s v="BR support"/>
    <x v="1"/>
  </r>
  <r>
    <n v="25"/>
    <x v="4"/>
    <s v="Thursday"/>
    <d v="2025-06-19T00:00:00"/>
    <n v="22"/>
    <x v="870"/>
    <x v="3"/>
    <x v="2"/>
    <s v="E5885"/>
    <x v="0"/>
  </r>
  <r>
    <n v="25"/>
    <x v="4"/>
    <s v="Thursday"/>
    <d v="2025-06-19T00:00:00"/>
    <n v="23"/>
    <x v="871"/>
    <x v="1"/>
    <x v="0"/>
    <s v="Invoice"/>
    <x v="1"/>
  </r>
  <r>
    <n v="25"/>
    <x v="4"/>
    <s v="Thursday"/>
    <d v="2025-06-19T00:00:00"/>
    <n v="24"/>
    <x v="870"/>
    <x v="2"/>
    <x v="2"/>
    <s v="E5885"/>
    <x v="1"/>
  </r>
  <r>
    <n v="25"/>
    <x v="4"/>
    <s v="Thursday"/>
    <d v="2025-06-19T00:00:00"/>
    <n v="25"/>
    <x v="872"/>
    <x v="2"/>
    <x v="1"/>
    <s v="AmazonNow"/>
    <x v="1"/>
  </r>
  <r>
    <n v="26"/>
    <x v="4"/>
    <s v="Monday"/>
    <d v="2025-06-23T00:00:00"/>
    <n v="1"/>
    <x v="873"/>
    <x v="2"/>
    <x v="1"/>
    <s v="Merged case"/>
    <x v="0"/>
  </r>
  <r>
    <n v="26"/>
    <x v="4"/>
    <s v="Monday"/>
    <d v="2025-06-23T00:00:00"/>
    <n v="2"/>
    <x v="874"/>
    <x v="3"/>
    <x v="1"/>
    <s v="WD"/>
    <x v="1"/>
  </r>
  <r>
    <n v="26"/>
    <x v="4"/>
    <s v="Monday"/>
    <d v="2025-06-23T00:00:00"/>
    <n v="3"/>
    <x v="875"/>
    <x v="2"/>
    <x v="1"/>
    <s v="Feedback removal req"/>
    <x v="1"/>
  </r>
  <r>
    <n v="26"/>
    <x v="4"/>
    <s v="Monday"/>
    <d v="2025-06-23T00:00:00"/>
    <n v="4"/>
    <x v="876"/>
    <x v="2"/>
    <x v="0"/>
    <s v="Receiving"/>
    <x v="1"/>
  </r>
  <r>
    <n v="26"/>
    <x v="4"/>
    <s v="Monday"/>
    <d v="2025-06-23T00:00:00"/>
    <n v="5"/>
    <x v="877"/>
    <x v="1"/>
    <x v="0"/>
    <s v="BOL"/>
    <x v="1"/>
  </r>
  <r>
    <n v="26"/>
    <x v="4"/>
    <s v="Monday"/>
    <d v="2025-06-23T00:00:00"/>
    <n v="6"/>
    <x v="878"/>
    <x v="0"/>
    <x v="0"/>
    <s v="HV"/>
    <x v="1"/>
  </r>
  <r>
    <n v="26"/>
    <x v="4"/>
    <s v="Monday"/>
    <d v="2025-06-23T00:00:00"/>
    <n v="7"/>
    <x v="879"/>
    <x v="3"/>
    <x v="1"/>
    <s v="Reserved inventory"/>
    <x v="1"/>
  </r>
  <r>
    <n v="26"/>
    <x v="4"/>
    <s v="Monday"/>
    <d v="2025-06-23T00:00:00"/>
    <n v="8"/>
    <x v="880"/>
    <x v="2"/>
    <x v="2"/>
    <s v="Suppressed ASIN"/>
    <x v="1"/>
  </r>
  <r>
    <n v="26"/>
    <x v="4"/>
    <s v="Tuesday"/>
    <d v="2025-06-24T00:00:00"/>
    <n v="1"/>
    <x v="881"/>
    <x v="2"/>
    <x v="1"/>
    <s v="Orders"/>
    <x v="1"/>
  </r>
  <r>
    <n v="26"/>
    <x v="4"/>
    <s v="Tuesday"/>
    <d v="2025-06-24T00:00:00"/>
    <n v="2"/>
    <x v="882"/>
    <x v="0"/>
    <x v="0"/>
    <s v="HV"/>
    <x v="1"/>
  </r>
  <r>
    <n v="26"/>
    <x v="4"/>
    <s v="Tuesday"/>
    <d v="2025-06-24T00:00:00"/>
    <n v="3"/>
    <x v="883"/>
    <x v="0"/>
    <x v="0"/>
    <s v="HV"/>
    <x v="1"/>
  </r>
  <r>
    <n v="26"/>
    <x v="4"/>
    <s v="Tuesday"/>
    <d v="2025-06-24T00:00:00"/>
    <n v="4"/>
    <x v="884"/>
    <x v="2"/>
    <x v="2"/>
    <s v="A+ content"/>
    <x v="1"/>
  </r>
  <r>
    <n v="26"/>
    <x v="4"/>
    <s v="Tuesday"/>
    <d v="2025-06-24T00:00:00"/>
    <n v="5"/>
    <x v="885"/>
    <x v="2"/>
    <x v="1"/>
    <s v="ASIN remap"/>
    <x v="1"/>
  </r>
  <r>
    <n v="26"/>
    <x v="4"/>
    <s v="Tuesday"/>
    <d v="2025-06-24T00:00:00"/>
    <n v="6"/>
    <x v="886"/>
    <x v="3"/>
    <x v="1"/>
    <s v="Open TT"/>
    <x v="0"/>
  </r>
  <r>
    <n v="26"/>
    <x v="4"/>
    <s v="Tuesday"/>
    <d v="2025-06-24T00:00:00"/>
    <n v="7"/>
    <x v="887"/>
    <x v="0"/>
    <x v="0"/>
    <s v="DE"/>
    <x v="1"/>
  </r>
  <r>
    <n v="26"/>
    <x v="4"/>
    <s v="Tuesday"/>
    <d v="2025-06-24T00:00:00"/>
    <n v="8"/>
    <x v="888"/>
    <x v="2"/>
    <x v="1"/>
    <s v="Report a violation"/>
    <x v="1"/>
  </r>
  <r>
    <n v="26"/>
    <x v="4"/>
    <s v="Tuesday"/>
    <d v="2025-06-24T00:00:00"/>
    <n v="9"/>
    <x v="889"/>
    <x v="2"/>
    <x v="1"/>
    <s v="Damaged inventory"/>
    <x v="1"/>
  </r>
  <r>
    <n v="26"/>
    <x v="4"/>
    <s v="Tuesday"/>
    <d v="2025-06-24T00:00:00"/>
    <n v="10"/>
    <x v="890"/>
    <x v="3"/>
    <x v="1"/>
    <s v="WD"/>
    <x v="0"/>
  </r>
  <r>
    <n v="26"/>
    <x v="4"/>
    <s v="Tuesday"/>
    <d v="2025-06-24T00:00:00"/>
    <n v="11"/>
    <x v="891"/>
    <x v="1"/>
    <x v="0"/>
    <s v="Invoice"/>
    <x v="0"/>
  </r>
  <r>
    <n v="26"/>
    <x v="4"/>
    <s v="Tuesday"/>
    <d v="2025-06-24T00:00:00"/>
    <n v="12"/>
    <x v="892"/>
    <x v="2"/>
    <x v="2"/>
    <s v="GPSR"/>
    <x v="1"/>
  </r>
  <r>
    <n v="26"/>
    <x v="4"/>
    <s v="Tuesday"/>
    <d v="2025-06-24T00:00:00"/>
    <n v="13"/>
    <x v="893"/>
    <x v="2"/>
    <x v="1"/>
    <s v="Pan european program"/>
    <x v="1"/>
  </r>
  <r>
    <n v="26"/>
    <x v="4"/>
    <s v="Tuesday"/>
    <d v="2025-06-24T00:00:00"/>
    <n v="14"/>
    <x v="894"/>
    <x v="2"/>
    <x v="1"/>
    <s v="Removal Order"/>
    <x v="1"/>
  </r>
  <r>
    <n v="26"/>
    <x v="4"/>
    <s v="Tuesday"/>
    <d v="2025-06-24T00:00:00"/>
    <n v="15"/>
    <x v="895"/>
    <x v="1"/>
    <x v="1"/>
    <s v="Order ID"/>
    <x v="1"/>
  </r>
  <r>
    <n v="26"/>
    <x v="4"/>
    <s v="Tuesday"/>
    <d v="2025-06-24T00:00:00"/>
    <n v="16"/>
    <x v="896"/>
    <x v="2"/>
    <x v="1"/>
    <s v="Feedback removal req"/>
    <x v="1"/>
  </r>
  <r>
    <n v="26"/>
    <x v="4"/>
    <s v="Tuesday"/>
    <d v="2025-06-24T00:00:00"/>
    <n v="17"/>
    <x v="897"/>
    <x v="2"/>
    <x v="1"/>
    <s v="Orders"/>
    <x v="1"/>
  </r>
  <r>
    <n v="26"/>
    <x v="4"/>
    <s v="Tuesday"/>
    <d v="2025-06-24T00:00:00"/>
    <n v="18"/>
    <x v="898"/>
    <x v="1"/>
    <x v="0"/>
    <s v="Invoice"/>
    <x v="1"/>
  </r>
  <r>
    <n v="26"/>
    <x v="4"/>
    <s v="Tuesday"/>
    <d v="2025-06-24T00:00:00"/>
    <n v="19"/>
    <x v="899"/>
    <x v="0"/>
    <x v="2"/>
    <s v="ILAC"/>
    <x v="1"/>
  </r>
  <r>
    <n v="26"/>
    <x v="4"/>
    <s v="Tuesday"/>
    <d v="2025-06-24T00:00:00"/>
    <n v="20"/>
    <x v="900"/>
    <x v="0"/>
    <x v="0"/>
    <s v="HV"/>
    <x v="1"/>
  </r>
  <r>
    <n v="26"/>
    <x v="4"/>
    <s v="Tuesday"/>
    <d v="2025-06-24T00:00:00"/>
    <n v="21"/>
    <x v="901"/>
    <x v="2"/>
    <x v="1"/>
    <s v="Removal Order"/>
    <x v="1"/>
  </r>
  <r>
    <n v="26"/>
    <x v="4"/>
    <s v="Tuesday"/>
    <d v="2025-06-24T00:00:00"/>
    <n v="22"/>
    <x v="902"/>
    <x v="3"/>
    <x v="1"/>
    <s v="PO flip"/>
    <x v="1"/>
  </r>
  <r>
    <n v="26"/>
    <x v="4"/>
    <s v="Tuesday"/>
    <d v="2025-06-24T00:00:00"/>
    <n v="23"/>
    <x v="903"/>
    <x v="2"/>
    <x v="1"/>
    <s v="Merged case"/>
    <x v="1"/>
  </r>
  <r>
    <n v="26"/>
    <x v="4"/>
    <s v="Tuesday"/>
    <d v="2025-06-24T00:00:00"/>
    <n v="24"/>
    <x v="904"/>
    <x v="3"/>
    <x v="1"/>
    <s v="WD"/>
    <x v="1"/>
  </r>
  <r>
    <n v="26"/>
    <x v="4"/>
    <s v="Tuesday"/>
    <d v="2025-06-24T00:00:00"/>
    <n v="25"/>
    <x v="905"/>
    <x v="0"/>
    <x v="2"/>
    <s v="IIDP"/>
    <x v="0"/>
  </r>
  <r>
    <n v="26"/>
    <x v="4"/>
    <s v="Tuesday"/>
    <d v="2025-06-24T00:00:00"/>
    <n v="26"/>
    <x v="906"/>
    <x v="2"/>
    <x v="1"/>
    <s v="Removal Order"/>
    <x v="1"/>
  </r>
  <r>
    <n v="26"/>
    <x v="4"/>
    <s v="Tuesday"/>
    <d v="2025-06-24T00:00:00"/>
    <n v="27"/>
    <x v="907"/>
    <x v="0"/>
    <x v="0"/>
    <s v="HV"/>
    <x v="1"/>
  </r>
  <r>
    <n v="26"/>
    <x v="4"/>
    <s v="Tuesday"/>
    <d v="2025-06-24T00:00:00"/>
    <n v="28"/>
    <x v="902"/>
    <x v="2"/>
    <x v="1"/>
    <s v="PO flip"/>
    <x v="1"/>
  </r>
  <r>
    <n v="26"/>
    <x v="4"/>
    <s v="Tuesday"/>
    <d v="2025-06-24T00:00:00"/>
    <n v="29"/>
    <x v="908"/>
    <x v="3"/>
    <x v="1"/>
    <s v="Open TT"/>
    <x v="1"/>
  </r>
  <r>
    <n v="26"/>
    <x v="4"/>
    <s v="Tuesday"/>
    <d v="2025-06-24T00:00:00"/>
    <n v="30"/>
    <x v="909"/>
    <x v="3"/>
    <x v="1"/>
    <s v="Reserved inventory"/>
    <x v="1"/>
  </r>
  <r>
    <n v="26"/>
    <x v="4"/>
    <s v="Wednesday"/>
    <d v="2025-06-25T00:00:00"/>
    <n v="1"/>
    <x v="885"/>
    <x v="2"/>
    <x v="1"/>
    <s v="ASIN remap"/>
    <x v="1"/>
  </r>
  <r>
    <n v="26"/>
    <x v="4"/>
    <s v="Wednesday"/>
    <d v="2025-06-25T00:00:00"/>
    <n v="2"/>
    <x v="910"/>
    <x v="2"/>
    <x v="1"/>
    <s v="Callback req"/>
    <x v="1"/>
  </r>
  <r>
    <n v="26"/>
    <x v="4"/>
    <s v="Wednesday"/>
    <d v="2025-06-25T00:00:00"/>
    <n v="3"/>
    <x v="911"/>
    <x v="2"/>
    <x v="0"/>
    <s v="Reimbursed"/>
    <x v="1"/>
  </r>
  <r>
    <n v="26"/>
    <x v="4"/>
    <s v="Wednesday"/>
    <d v="2025-06-25T00:00:00"/>
    <n v="4"/>
    <x v="912"/>
    <x v="0"/>
    <x v="2"/>
    <s v="BR support"/>
    <x v="1"/>
  </r>
  <r>
    <n v="26"/>
    <x v="4"/>
    <s v="Wednesday"/>
    <d v="2025-06-25T00:00:00"/>
    <n v="5"/>
    <x v="913"/>
    <x v="2"/>
    <x v="1"/>
    <s v="ATS"/>
    <x v="1"/>
  </r>
  <r>
    <n v="26"/>
    <x v="4"/>
    <s v="Wednesday"/>
    <d v="2025-06-25T00:00:00"/>
    <n v="6"/>
    <x v="914"/>
    <x v="2"/>
    <x v="1"/>
    <s v="Feedback removal req"/>
    <x v="0"/>
  </r>
  <r>
    <n v="26"/>
    <x v="4"/>
    <s v="Wednesday"/>
    <d v="2025-06-25T00:00:00"/>
    <n v="7"/>
    <x v="915"/>
    <x v="2"/>
    <x v="1"/>
    <s v="Overage"/>
    <x v="1"/>
  </r>
  <r>
    <n v="26"/>
    <x v="4"/>
    <s v="Wednesday"/>
    <d v="2025-06-25T00:00:00"/>
    <n v="8"/>
    <x v="916"/>
    <x v="2"/>
    <x v="2"/>
    <s v="Chat disconnected"/>
    <x v="1"/>
  </r>
  <r>
    <n v="26"/>
    <x v="4"/>
    <s v="Wednesday"/>
    <d v="2025-06-25T00:00:00"/>
    <n v="9"/>
    <x v="917"/>
    <x v="3"/>
    <x v="2"/>
    <s v="E5665"/>
    <x v="1"/>
  </r>
  <r>
    <n v="26"/>
    <x v="4"/>
    <s v="Wednesday"/>
    <d v="2025-06-25T00:00:00"/>
    <n v="10"/>
    <x v="918"/>
    <x v="2"/>
    <x v="2"/>
    <s v="Cancel order"/>
    <x v="1"/>
  </r>
  <r>
    <n v="26"/>
    <x v="4"/>
    <s v="Wednesday"/>
    <d v="2025-06-25T00:00:00"/>
    <n v="11"/>
    <x v="891"/>
    <x v="2"/>
    <x v="0"/>
    <s v="Item Ineligible"/>
    <x v="1"/>
  </r>
  <r>
    <n v="26"/>
    <x v="4"/>
    <s v="Wednesday"/>
    <d v="2025-06-25T00:00:00"/>
    <n v="12"/>
    <x v="919"/>
    <x v="0"/>
    <x v="2"/>
    <s v="Amazon Renewed AE queue : sesu-ae-mat-ecm-reg-std-eng-crf@amazon.ae"/>
    <x v="1"/>
  </r>
  <r>
    <n v="26"/>
    <x v="4"/>
    <s v="Wednesday"/>
    <d v="2025-06-25T00:00:00"/>
    <n v="13"/>
    <x v="920"/>
    <x v="2"/>
    <x v="1"/>
    <s v="Reserved inventory"/>
    <x v="1"/>
  </r>
  <r>
    <n v="26"/>
    <x v="4"/>
    <s v="Wednesday"/>
    <d v="2025-06-25T00:00:00"/>
    <n v="14"/>
    <x v="921"/>
    <x v="0"/>
    <x v="0"/>
    <s v="HV"/>
    <x v="0"/>
  </r>
  <r>
    <n v="26"/>
    <x v="4"/>
    <s v="Wednesday"/>
    <d v="2025-06-25T00:00:00"/>
    <n v="15"/>
    <x v="922"/>
    <x v="0"/>
    <x v="1"/>
    <s v="DE"/>
    <x v="0"/>
  </r>
  <r>
    <n v="26"/>
    <x v="4"/>
    <s v="Wednesday"/>
    <d v="2025-06-25T00:00:00"/>
    <n v="16"/>
    <x v="923"/>
    <x v="2"/>
    <x v="1"/>
    <s v="Prev ASC resolved chat case"/>
    <x v="1"/>
  </r>
  <r>
    <n v="26"/>
    <x v="4"/>
    <s v="Wednesday"/>
    <d v="2025-06-25T00:00:00"/>
    <n v="17"/>
    <x v="924"/>
    <x v="2"/>
    <x v="0"/>
    <s v="Item Ineligible"/>
    <x v="1"/>
  </r>
  <r>
    <n v="26"/>
    <x v="4"/>
    <s v="Wednesday"/>
    <d v="2025-06-25T00:00:00"/>
    <n v="18"/>
    <x v="925"/>
    <x v="1"/>
    <x v="1"/>
    <s v="Req info"/>
    <x v="1"/>
  </r>
  <r>
    <n v="26"/>
    <x v="4"/>
    <s v="Wednesday"/>
    <d v="2025-06-25T00:00:00"/>
    <n v="19"/>
    <x v="926"/>
    <x v="2"/>
    <x v="2"/>
    <s v="Disbursement"/>
    <x v="0"/>
  </r>
  <r>
    <n v="26"/>
    <x v="4"/>
    <s v="Wednesday"/>
    <d v="2025-06-25T00:00:00"/>
    <n v="20"/>
    <x v="927"/>
    <x v="2"/>
    <x v="0"/>
    <s v="Reimbursed"/>
    <x v="0"/>
  </r>
  <r>
    <n v="26"/>
    <x v="4"/>
    <s v="Wednesday"/>
    <d v="2025-06-25T00:00:00"/>
    <n v="21"/>
    <x v="928"/>
    <x v="2"/>
    <x v="0"/>
    <s v="Explain charges"/>
    <x v="0"/>
  </r>
  <r>
    <n v="26"/>
    <x v="4"/>
    <s v="Wednesday"/>
    <d v="2025-06-25T00:00:00"/>
    <n v="22"/>
    <x v="929"/>
    <x v="2"/>
    <x v="1"/>
    <s v="Easyship "/>
    <x v="1"/>
  </r>
  <r>
    <n v="26"/>
    <x v="4"/>
    <s v="Wednesday"/>
    <d v="2025-06-25T00:00:00"/>
    <n v="23"/>
    <x v="930"/>
    <x v="0"/>
    <x v="0"/>
    <s v="HV"/>
    <x v="1"/>
  </r>
  <r>
    <n v="26"/>
    <x v="4"/>
    <s v="Wednesday"/>
    <d v="2025-06-25T00:00:00"/>
    <n v="24"/>
    <x v="931"/>
    <x v="1"/>
    <x v="0"/>
    <s v="More time req"/>
    <x v="1"/>
  </r>
  <r>
    <n v="26"/>
    <x v="4"/>
    <s v="Wednesday"/>
    <d v="2025-06-25T00:00:00"/>
    <n v="25"/>
    <x v="932"/>
    <x v="2"/>
    <x v="2"/>
    <s v="Amazon Customs Program"/>
    <x v="1"/>
  </r>
  <r>
    <n v="26"/>
    <x v="4"/>
    <s v="Wednesday"/>
    <d v="2025-06-25T00:00:00"/>
    <n v="26"/>
    <x v="933"/>
    <x v="2"/>
    <x v="1"/>
    <s v="WD"/>
    <x v="1"/>
  </r>
  <r>
    <n v="26"/>
    <x v="4"/>
    <s v="Wednesday"/>
    <d v="2025-06-25T00:00:00"/>
    <n v="27"/>
    <x v="934"/>
    <x v="2"/>
    <x v="2"/>
    <s v="Account verification"/>
    <x v="0"/>
  </r>
  <r>
    <n v="26"/>
    <x v="4"/>
    <s v="Wednesday"/>
    <d v="2025-06-25T00:00:00"/>
    <n v="28"/>
    <x v="935"/>
    <x v="2"/>
    <x v="1"/>
    <s v="ATS"/>
    <x v="1"/>
  </r>
  <r>
    <n v="26"/>
    <x v="4"/>
    <s v="Wednesday"/>
    <d v="2025-06-25T00:00:00"/>
    <n v="29"/>
    <x v="936"/>
    <x v="3"/>
    <x v="1"/>
    <s v="Open TT"/>
    <x v="1"/>
  </r>
  <r>
    <n v="26"/>
    <x v="4"/>
    <s v="Wednesday"/>
    <d v="2025-06-25T00:00:00"/>
    <n v="30"/>
    <x v="937"/>
    <x v="2"/>
    <x v="2"/>
    <s v="Invoice"/>
    <x v="1"/>
  </r>
  <r>
    <n v="26"/>
    <x v="4"/>
    <s v="Wednesday"/>
    <d v="2025-06-25T00:00:00"/>
    <n v="31"/>
    <x v="938"/>
    <x v="0"/>
    <x v="1"/>
    <s v="Arabic support"/>
    <x v="1"/>
  </r>
  <r>
    <n v="26"/>
    <x v="4"/>
    <s v="Thursday"/>
    <d v="2025-06-26T00:00:00"/>
    <n v="1"/>
    <x v="877"/>
    <x v="1"/>
    <x v="0"/>
    <s v="More time req"/>
    <x v="1"/>
  </r>
  <r>
    <n v="26"/>
    <x v="4"/>
    <s v="Thursday"/>
    <d v="2025-06-26T00:00:00"/>
    <n v="2"/>
    <x v="939"/>
    <x v="0"/>
    <x v="0"/>
    <s v="HV"/>
    <x v="1"/>
  </r>
  <r>
    <n v="26"/>
    <x v="4"/>
    <s v="Thursday"/>
    <d v="2025-06-26T00:00:00"/>
    <n v="3"/>
    <x v="940"/>
    <x v="2"/>
    <x v="1"/>
    <s v="Removal Order"/>
    <x v="1"/>
  </r>
  <r>
    <n v="26"/>
    <x v="4"/>
    <s v="Thursday"/>
    <d v="2025-06-26T00:00:00"/>
    <n v="4"/>
    <x v="925"/>
    <x v="2"/>
    <x v="1"/>
    <s v="Removal Order"/>
    <x v="1"/>
  </r>
  <r>
    <n v="26"/>
    <x v="4"/>
    <s v="Thursday"/>
    <d v="2025-06-26T00:00:00"/>
    <n v="5"/>
    <x v="941"/>
    <x v="3"/>
    <x v="0"/>
    <s v="Open TT"/>
    <x v="1"/>
  </r>
  <r>
    <n v="26"/>
    <x v="4"/>
    <s v="Thursday"/>
    <d v="2025-06-26T00:00:00"/>
    <n v="6"/>
    <x v="942"/>
    <x v="3"/>
    <x v="0"/>
    <s v="Open TT"/>
    <x v="1"/>
  </r>
  <r>
    <n v="26"/>
    <x v="4"/>
    <s v="Thursday"/>
    <d v="2025-06-26T00:00:00"/>
    <n v="7"/>
    <x v="943"/>
    <x v="2"/>
    <x v="2"/>
    <s v="Add a product"/>
    <x v="0"/>
  </r>
  <r>
    <n v="26"/>
    <x v="4"/>
    <s v="Thursday"/>
    <d v="2025-06-26T00:00:00"/>
    <n v="8"/>
    <x v="944"/>
    <x v="2"/>
    <x v="2"/>
    <s v="Product review"/>
    <x v="0"/>
  </r>
  <r>
    <n v="26"/>
    <x v="4"/>
    <s v="Thursday"/>
    <d v="2025-06-26T00:00:00"/>
    <n v="9"/>
    <x v="942"/>
    <x v="2"/>
    <x v="0"/>
    <s v="Reimbursed"/>
    <x v="1"/>
  </r>
  <r>
    <n v="26"/>
    <x v="4"/>
    <s v="Thursday"/>
    <d v="2025-06-26T00:00:00"/>
    <n v="10"/>
    <x v="945"/>
    <x v="2"/>
    <x v="1"/>
    <s v="BIL"/>
    <x v="1"/>
  </r>
  <r>
    <n v="26"/>
    <x v="4"/>
    <s v="Thursday"/>
    <d v="2025-06-26T00:00:00"/>
    <n v="11"/>
    <x v="946"/>
    <x v="0"/>
    <x v="0"/>
    <s v="HV"/>
    <x v="1"/>
  </r>
  <r>
    <n v="26"/>
    <x v="4"/>
    <s v="Thursday"/>
    <d v="2025-06-26T00:00:00"/>
    <n v="12"/>
    <x v="947"/>
    <x v="1"/>
    <x v="2"/>
    <s v="E5461"/>
    <x v="0"/>
  </r>
  <r>
    <n v="26"/>
    <x v="4"/>
    <s v="Thursday"/>
    <d v="2025-06-26T00:00:00"/>
    <n v="13"/>
    <x v="948"/>
    <x v="2"/>
    <x v="2"/>
    <s v="Inactive listing"/>
    <x v="0"/>
  </r>
  <r>
    <n v="26"/>
    <x v="4"/>
    <s v="Thursday"/>
    <d v="2025-06-26T00:00:00"/>
    <n v="14"/>
    <x v="949"/>
    <x v="2"/>
    <x v="1"/>
    <s v="Lost inventory"/>
    <x v="0"/>
  </r>
  <r>
    <n v="26"/>
    <x v="4"/>
    <s v="Thursday"/>
    <d v="2025-06-26T00:00:00"/>
    <n v="15"/>
    <x v="950"/>
    <x v="2"/>
    <x v="1"/>
    <s v="Removal Order"/>
    <x v="1"/>
  </r>
  <r>
    <n v="26"/>
    <x v="4"/>
    <s v="Thursday"/>
    <d v="2025-06-26T00:00:00"/>
    <n v="16"/>
    <x v="951"/>
    <x v="2"/>
    <x v="2"/>
    <s v="99 case"/>
    <x v="1"/>
  </r>
  <r>
    <n v="26"/>
    <x v="4"/>
    <s v="Thursday"/>
    <d v="2025-06-26T00:00:00"/>
    <n v="17"/>
    <x v="952"/>
    <x v="2"/>
    <x v="1"/>
    <s v="Reimbursed"/>
    <x v="1"/>
  </r>
  <r>
    <n v="26"/>
    <x v="4"/>
    <s v="Thursday"/>
    <d v="2025-06-26T00:00:00"/>
    <n v="18"/>
    <x v="947"/>
    <x v="3"/>
    <x v="2"/>
    <s v="E5461"/>
    <x v="1"/>
  </r>
  <r>
    <n v="26"/>
    <x v="4"/>
    <s v="Thursday"/>
    <d v="2025-06-26T00:00:00"/>
    <n v="19"/>
    <x v="796"/>
    <x v="3"/>
    <x v="1"/>
    <s v="Open TT"/>
    <x v="1"/>
  </r>
  <r>
    <n v="26"/>
    <x v="4"/>
    <s v="Thursday"/>
    <d v="2025-06-26T00:00:00"/>
    <n v="20"/>
    <x v="953"/>
    <x v="2"/>
    <x v="1"/>
    <s v="Easyship "/>
    <x v="1"/>
  </r>
  <r>
    <n v="26"/>
    <x v="4"/>
    <s v="Thursday"/>
    <d v="2025-06-26T00:00:00"/>
    <n v="21"/>
    <x v="954"/>
    <x v="2"/>
    <x v="0"/>
    <s v="Contents tab"/>
    <x v="1"/>
  </r>
  <r>
    <n v="26"/>
    <x v="4"/>
    <s v="Thursday"/>
    <d v="2025-06-26T00:00:00"/>
    <n v="22"/>
    <x v="955"/>
    <x v="2"/>
    <x v="1"/>
    <s v="Close account"/>
    <x v="1"/>
  </r>
  <r>
    <n v="26"/>
    <x v="4"/>
    <s v="Thursday"/>
    <d v="2025-06-26T00:00:00"/>
    <n v="23"/>
    <x v="956"/>
    <x v="3"/>
    <x v="1"/>
    <s v="Lost inventory"/>
    <x v="1"/>
  </r>
  <r>
    <n v="26"/>
    <x v="4"/>
    <s v="Thursday"/>
    <d v="2025-06-26T00:00:00"/>
    <n v="24"/>
    <x v="957"/>
    <x v="2"/>
    <x v="0"/>
    <s v="No discrepancy"/>
    <x v="0"/>
  </r>
  <r>
    <n v="26"/>
    <x v="4"/>
    <s v="Thursday"/>
    <d v="2025-06-26T00:00:00"/>
    <n v="25"/>
    <x v="904"/>
    <x v="2"/>
    <x v="1"/>
    <s v="WD"/>
    <x v="1"/>
  </r>
  <r>
    <n v="26"/>
    <x v="4"/>
    <s v="Thursday"/>
    <d v="2025-06-26T00:00:00"/>
    <n v="26"/>
    <x v="958"/>
    <x v="2"/>
    <x v="2"/>
    <s v="Report a violation"/>
    <x v="1"/>
  </r>
  <r>
    <n v="26"/>
    <x v="4"/>
    <s v="Thursday"/>
    <d v="2025-06-26T00:00:00"/>
    <n v="27"/>
    <x v="959"/>
    <x v="2"/>
    <x v="0"/>
    <s v="Shipment over 6 months"/>
    <x v="1"/>
  </r>
  <r>
    <n v="26"/>
    <x v="4"/>
    <s v="Thursday"/>
    <d v="2025-06-26T00:00:00"/>
    <n v="28"/>
    <x v="960"/>
    <x v="0"/>
    <x v="0"/>
    <s v="HV"/>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7">
  <r>
    <n v="2"/>
    <s v="Jan2025"/>
    <s v="Thursday"/>
    <x v="0"/>
    <n v="1"/>
    <n v="10691104772"/>
    <x v="0"/>
    <s v="ILAC"/>
    <s v="HV"/>
    <s v="Yes"/>
  </r>
  <r>
    <n v="2"/>
    <s v="Jan2025"/>
    <s v="Thursday"/>
    <x v="0"/>
    <n v="2"/>
    <n v="10680123972"/>
    <x v="1"/>
    <s v="ILAC"/>
    <s v="POD"/>
    <s v="Yes"/>
  </r>
  <r>
    <n v="2"/>
    <s v="Jan2025"/>
    <s v="Thursday"/>
    <x v="0"/>
    <n v="3"/>
    <n v="10683507902"/>
    <x v="1"/>
    <s v="ILAC"/>
    <s v="Invoice"/>
    <s v="No"/>
  </r>
  <r>
    <n v="2"/>
    <s v="Jan2025"/>
    <s v="Thursday"/>
    <x v="0"/>
    <n v="4"/>
    <n v="10682325712"/>
    <x v="2"/>
    <s v="ILAC"/>
    <s v="Reimbursed"/>
    <s v="No"/>
  </r>
  <r>
    <n v="2"/>
    <s v="Jan2025"/>
    <s v="Thursday"/>
    <x v="0"/>
    <n v="5"/>
    <n v="10472816962"/>
    <x v="1"/>
    <s v="FBA"/>
    <s v="Req info"/>
    <s v="No"/>
  </r>
  <r>
    <n v="2"/>
    <s v="Jan2025"/>
    <s v="Thursday"/>
    <x v="0"/>
    <n v="6"/>
    <n v="10687631122"/>
    <x v="0"/>
    <s v="MAT"/>
    <s v="BR support"/>
    <s v="No"/>
  </r>
  <r>
    <n v="2"/>
    <s v="Jan2025"/>
    <s v="Thursday"/>
    <x v="0"/>
    <n v="7"/>
    <n v="10691745962"/>
    <x v="2"/>
    <s v="MAT"/>
    <s v="Seller no response"/>
    <s v="No"/>
  </r>
  <r>
    <n v="2"/>
    <s v="Jan2025"/>
    <s v="Thursday"/>
    <x v="0"/>
    <n v="8"/>
    <n v="10688127342"/>
    <x v="3"/>
    <s v="MAT"/>
    <s v="KSA - https://w.amazon.com/bin/view/KSA_FBA_Operations/ - Preferred FC "/>
    <s v="No"/>
  </r>
  <r>
    <n v="2"/>
    <s v="Jan2025"/>
    <s v="Thursday"/>
    <x v="0"/>
    <n v="9"/>
    <n v="10673689682"/>
    <x v="1"/>
    <s v="ILAC"/>
    <s v="POD"/>
    <s v="No"/>
  </r>
  <r>
    <n v="2"/>
    <s v="Jan2025"/>
    <s v="Thursday"/>
    <x v="0"/>
    <n v="10"/>
    <n v="10691510562"/>
    <x v="2"/>
    <s v="FBA"/>
    <s v="Lost inventory"/>
    <s v="No"/>
  </r>
  <r>
    <n v="2"/>
    <s v="Jan2025"/>
    <s v="Thursday"/>
    <x v="0"/>
    <n v="11"/>
    <n v="10691612622"/>
    <x v="2"/>
    <s v="FBA"/>
    <s v="Contents tab"/>
    <s v="No"/>
  </r>
  <r>
    <n v="2"/>
    <s v="Jan2025"/>
    <s v="Thursday"/>
    <x v="0"/>
    <n v="12"/>
    <n v="10687226472"/>
    <x v="2"/>
    <s v="ILAC"/>
    <s v="Reimbursed"/>
    <s v="No"/>
  </r>
  <r>
    <n v="2"/>
    <s v="Jan2025"/>
    <s v="Thursday"/>
    <x v="0"/>
    <n v="13"/>
    <n v="10688127342"/>
    <x v="3"/>
    <s v="FBA"/>
    <s v="Open TT"/>
    <s v="No"/>
  </r>
  <r>
    <n v="2"/>
    <s v="Jan2025"/>
    <s v="Thursday"/>
    <x v="0"/>
    <n v="14"/>
    <n v="10691456342"/>
    <x v="2"/>
    <s v="ILAC"/>
    <s v="Merged case"/>
    <s v="No"/>
  </r>
  <r>
    <n v="2"/>
    <s v="Jan2025"/>
    <s v="Thursday"/>
    <x v="0"/>
    <n v="15"/>
    <n v="10692697022"/>
    <x v="2"/>
    <s v="FBA"/>
    <s v="Removal Order"/>
    <s v="No"/>
  </r>
  <r>
    <n v="2"/>
    <s v="Jan2025"/>
    <s v="Thursday"/>
    <x v="0"/>
    <n v="16"/>
    <n v="10692914732"/>
    <x v="1"/>
    <s v="ILAC"/>
    <s v="Invoice"/>
    <s v="No"/>
  </r>
  <r>
    <n v="2"/>
    <s v="Jan2025"/>
    <s v="Thursday"/>
    <x v="0"/>
    <n v="17"/>
    <n v="10676184092"/>
    <x v="2"/>
    <s v="ILAC"/>
    <s v="Reimbursed"/>
    <s v="No"/>
  </r>
  <r>
    <n v="2"/>
    <s v="Jan2025"/>
    <s v="Thursday"/>
    <x v="0"/>
    <n v="18"/>
    <n v="10688127342"/>
    <x v="2"/>
    <s v="FBA"/>
    <s v="Preferred FC"/>
    <s v="Yes"/>
  </r>
  <r>
    <n v="2"/>
    <s v="Jan2025"/>
    <s v="Friday"/>
    <x v="1"/>
    <n v="1"/>
    <n v="10694527502"/>
    <x v="3"/>
    <s v="FBA"/>
    <s v="Removal Order"/>
    <s v="No"/>
  </r>
  <r>
    <n v="2"/>
    <s v="Jan2025"/>
    <s v="Friday"/>
    <x v="1"/>
    <n v="2"/>
    <n v="10693780822"/>
    <x v="2"/>
    <s v="ILAC"/>
    <s v="Merged case"/>
    <s v="No"/>
  </r>
  <r>
    <n v="2"/>
    <s v="Jan2025"/>
    <s v="Friday"/>
    <x v="1"/>
    <n v="3"/>
    <n v="10694789962"/>
    <x v="0"/>
    <s v="MAT"/>
    <s v="Feeds"/>
    <s v="No"/>
  </r>
  <r>
    <n v="2"/>
    <s v="Jan2025"/>
    <s v="Friday"/>
    <x v="1"/>
    <n v="4"/>
    <n v="10686001022"/>
    <x v="2"/>
    <s v="ILAC"/>
    <s v="WD"/>
    <s v="Yes"/>
  </r>
  <r>
    <n v="2"/>
    <s v="Jan2025"/>
    <s v="Friday"/>
    <x v="1"/>
    <n v="5"/>
    <n v="10694220542"/>
    <x v="2"/>
    <s v="FBA"/>
    <s v="Warehouse transfer"/>
    <s v="No"/>
  </r>
  <r>
    <n v="2"/>
    <s v="Jan2025"/>
    <s v="Friday"/>
    <x v="1"/>
    <n v="6"/>
    <n v="10692666722"/>
    <x v="1"/>
    <s v="MAT"/>
    <s v="E5461"/>
    <s v="No"/>
  </r>
  <r>
    <n v="2"/>
    <s v="Jan2025"/>
    <s v="Friday"/>
    <x v="1"/>
    <n v="7"/>
    <n v="10694573542"/>
    <x v="2"/>
    <s v="FBA"/>
    <s v="WD"/>
    <s v="No"/>
  </r>
  <r>
    <n v="2"/>
    <s v="Jan2025"/>
    <s v="Friday"/>
    <x v="1"/>
    <n v="8"/>
    <n v="10694729622"/>
    <x v="0"/>
    <s v="MAT"/>
    <s v="BR support"/>
    <s v="No"/>
  </r>
  <r>
    <n v="2"/>
    <s v="Jan2025"/>
    <s v="Friday"/>
    <x v="1"/>
    <n v="9"/>
    <n v="10657751562"/>
    <x v="2"/>
    <s v="FBA"/>
    <s v="Seller performance"/>
    <s v="No"/>
  </r>
  <r>
    <n v="2"/>
    <s v="Jan2025"/>
    <s v="Friday"/>
    <x v="1"/>
    <n v="10"/>
    <n v="10694396672"/>
    <x v="0"/>
    <s v="MAT"/>
    <s v="Feeds"/>
    <s v="No"/>
  </r>
  <r>
    <n v="2"/>
    <s v="Jan2025"/>
    <s v="Friday"/>
    <x v="1"/>
    <n v="11"/>
    <n v="10672807182"/>
    <x v="3"/>
    <s v="FBA"/>
    <s v="Removal Order"/>
    <s v="No"/>
  </r>
  <r>
    <n v="2"/>
    <s v="Jan2025"/>
    <s v="Friday"/>
    <x v="1"/>
    <n v="12"/>
    <n v="10691026862"/>
    <x v="2"/>
    <s v="ILAC"/>
    <s v="Reimbursed"/>
    <s v="No"/>
  </r>
  <r>
    <n v="2"/>
    <s v="Jan2025"/>
    <s v="Friday"/>
    <x v="1"/>
    <n v="13"/>
    <n v="10680037052"/>
    <x v="1"/>
    <s v="ILAC"/>
    <s v="Re-evaluation request"/>
    <s v="No"/>
  </r>
  <r>
    <n v="2"/>
    <s v="Jan2025"/>
    <s v="Friday"/>
    <x v="1"/>
    <n v="14"/>
    <n v="10695267352"/>
    <x v="2"/>
    <s v="FBA"/>
    <s v="Seller flex order - Safe-T claim"/>
    <s v="No"/>
  </r>
  <r>
    <n v="2"/>
    <s v="Jan2025"/>
    <s v="Friday"/>
    <x v="1"/>
    <n v="15"/>
    <n v="10695298132"/>
    <x v="2"/>
    <s v="FBA"/>
    <s v="Preferred FC"/>
    <s v="No"/>
  </r>
  <r>
    <n v="2"/>
    <s v="Jan2025"/>
    <s v="Friday"/>
    <x v="1"/>
    <n v="16"/>
    <n v="10695786382"/>
    <x v="0"/>
    <s v="ILAC"/>
    <s v="HV"/>
    <s v="No"/>
  </r>
  <r>
    <n v="2"/>
    <s v="Jan2025"/>
    <s v="Friday"/>
    <x v="1"/>
    <n v="17"/>
    <n v="10695073522"/>
    <x v="0"/>
    <s v="ILAC"/>
    <s v="HV"/>
    <s v="No"/>
  </r>
  <r>
    <n v="2"/>
    <s v="Jan2025"/>
    <s v="Friday"/>
    <x v="1"/>
    <n v="18"/>
    <n v="10695859252"/>
    <x v="2"/>
    <s v="FBA"/>
    <s v="Removal Order"/>
    <s v="No"/>
  </r>
  <r>
    <n v="2"/>
    <s v="Jan2025"/>
    <s v="Friday"/>
    <x v="1"/>
    <n v="19"/>
    <n v="10679782222"/>
    <x v="1"/>
    <s v="ILAC"/>
    <s v="Req info"/>
    <s v="Yes"/>
  </r>
  <r>
    <n v="2"/>
    <s v="Jan2025"/>
    <s v="Friday"/>
    <x v="1"/>
    <n v="20"/>
    <n v="10695986372"/>
    <x v="1"/>
    <s v="MAT"/>
    <s v="Open TT"/>
    <s v="No"/>
  </r>
  <r>
    <n v="2"/>
    <s v="Jan2025"/>
    <s v="Friday"/>
    <x v="1"/>
    <n v="21"/>
    <n v="10673689682"/>
    <x v="2"/>
    <s v="ILAC"/>
    <s v="Reimbursed"/>
    <s v="Yes"/>
  </r>
  <r>
    <n v="2"/>
    <s v="Jan2025"/>
    <s v="Saturday"/>
    <x v="2"/>
    <n v="1"/>
    <n v="10690833742"/>
    <x v="1"/>
    <s v="ILAC"/>
    <s v="Invoice"/>
    <s v="No"/>
  </r>
  <r>
    <n v="2"/>
    <s v="Jan2025"/>
    <s v="Saturday"/>
    <x v="2"/>
    <n v="2"/>
    <n v="10697433712"/>
    <x v="0"/>
    <s v="ILAC"/>
    <s v="FBA"/>
    <s v="No"/>
  </r>
  <r>
    <n v="2"/>
    <s v="Jan2025"/>
    <s v="Saturday"/>
    <x v="2"/>
    <n v="3"/>
    <n v="10690819112"/>
    <x v="1"/>
    <s v="ILAC"/>
    <s v="Invoice"/>
    <s v="No"/>
  </r>
  <r>
    <n v="2"/>
    <s v="Jan2025"/>
    <s v="Saturday"/>
    <x v="2"/>
    <n v="4"/>
    <n v="10689565572"/>
    <x v="2"/>
    <s v="ILAC"/>
    <s v="Reconciled"/>
    <s v="No"/>
  </r>
  <r>
    <n v="2"/>
    <s v="Jan2025"/>
    <s v="Saturday"/>
    <x v="2"/>
    <n v="5"/>
    <n v="10697619642"/>
    <x v="2"/>
    <s v="MAT"/>
    <s v="E5461"/>
    <s v="No"/>
  </r>
  <r>
    <n v="2"/>
    <s v="Jan2025"/>
    <s v="Saturday"/>
    <x v="2"/>
    <n v="6"/>
    <n v="10689214202"/>
    <x v="2"/>
    <s v="ILAC"/>
    <s v="Reimbursed"/>
    <s v="No"/>
  </r>
  <r>
    <n v="2"/>
    <s v="Jan2025"/>
    <s v="Saturday"/>
    <x v="2"/>
    <n v="7"/>
    <n v="10684847642"/>
    <x v="3"/>
    <s v="ILAC"/>
    <s v="Open TT"/>
    <s v="No"/>
  </r>
  <r>
    <n v="2"/>
    <s v="Jan2025"/>
    <s v="Saturday"/>
    <x v="2"/>
    <n v="8"/>
    <n v="10665548452"/>
    <x v="2"/>
    <s v="ILAC"/>
    <s v="Reimbursed"/>
    <s v="No"/>
  </r>
  <r>
    <n v="2"/>
    <s v="Jan2025"/>
    <s v="Saturday"/>
    <x v="2"/>
    <n v="9"/>
    <n v="10697992412"/>
    <x v="2"/>
    <s v="FBA"/>
    <s v="Lost inventory"/>
    <s v="No"/>
  </r>
  <r>
    <n v="2"/>
    <s v="Jan2025"/>
    <s v="Saturday"/>
    <x v="2"/>
    <n v="10"/>
    <n v="10681415982"/>
    <x v="1"/>
    <s v="MAT"/>
    <s v="Inactive listing"/>
    <s v="No"/>
  </r>
  <r>
    <n v="2"/>
    <s v="Jan2025"/>
    <s v="Saturday"/>
    <x v="2"/>
    <n v="11"/>
    <n v="10697903192"/>
    <x v="3"/>
    <s v="MAT"/>
    <s v="Open TT"/>
    <s v="Yes"/>
  </r>
  <r>
    <n v="2"/>
    <s v="Jan2025"/>
    <s v="Saturday"/>
    <x v="2"/>
    <n v="12"/>
    <n v="10697983582"/>
    <x v="3"/>
    <s v="MAT"/>
    <s v="Open TT"/>
    <s v="Yes"/>
  </r>
  <r>
    <n v="2"/>
    <s v="Jan2025"/>
    <s v="Saturday"/>
    <x v="2"/>
    <n v="13"/>
    <n v="10698554102"/>
    <x v="2"/>
    <s v="MAT"/>
    <s v="Order of a different selling account"/>
    <s v="No"/>
  </r>
  <r>
    <n v="2"/>
    <s v="Jan2025"/>
    <s v="Saturday"/>
    <x v="2"/>
    <n v="14"/>
    <n v="10681553422"/>
    <x v="2"/>
    <s v="FBA"/>
    <s v="Lost inventory"/>
    <s v="No"/>
  </r>
  <r>
    <n v="2"/>
    <s v="Jan2025"/>
    <s v="Saturday"/>
    <x v="2"/>
    <n v="15"/>
    <n v="10698558912"/>
    <x v="2"/>
    <s v="MAT"/>
    <s v="No query"/>
    <s v="No"/>
  </r>
  <r>
    <n v="2"/>
    <s v="Jan2025"/>
    <s v="Saturday"/>
    <x v="2"/>
    <n v="16"/>
    <n v="10698198092"/>
    <x v="3"/>
    <s v="MAT"/>
    <s v="Added follow up"/>
    <s v="No"/>
  </r>
  <r>
    <n v="2"/>
    <s v="Jan2025"/>
    <s v="Saturday"/>
    <x v="2"/>
    <n v="17"/>
    <n v="10697983582"/>
    <x v="2"/>
    <s v="MAT"/>
    <s v="BP"/>
    <s v="Yes"/>
  </r>
  <r>
    <n v="2"/>
    <s v="Jan2025"/>
    <s v="Saturday"/>
    <x v="2"/>
    <n v="18"/>
    <n v="10684829752"/>
    <x v="1"/>
    <s v="ILAC"/>
    <s v="Invoice"/>
    <s v="No"/>
  </r>
  <r>
    <n v="2"/>
    <s v="Jan2025"/>
    <s v="Saturday"/>
    <x v="2"/>
    <n v="19"/>
    <n v="10698869712"/>
    <x v="2"/>
    <s v="MAT"/>
    <s v="Account status"/>
    <s v="No"/>
  </r>
  <r>
    <n v="2"/>
    <s v="Jan2025"/>
    <s v="Saturday"/>
    <x v="2"/>
    <n v="20"/>
    <n v="10632720982"/>
    <x v="3"/>
    <s v="FBA"/>
    <s v="Added follow up"/>
    <s v="No"/>
  </r>
  <r>
    <n v="3"/>
    <s v="Jan2025"/>
    <s v="Sunday"/>
    <x v="3"/>
    <n v="1"/>
    <n v="10692355072"/>
    <x v="3"/>
    <s v="ILAC"/>
    <s v="Open TT"/>
    <s v="No"/>
  </r>
  <r>
    <n v="3"/>
    <s v="Jan2025"/>
    <s v="Sunday"/>
    <x v="3"/>
    <n v="2"/>
    <n v="10692634822"/>
    <x v="1"/>
    <s v="ILAC"/>
    <s v="Invoice"/>
    <s v="No"/>
  </r>
  <r>
    <n v="3"/>
    <s v="Jan2025"/>
    <s v="Sunday"/>
    <x v="3"/>
    <n v="3"/>
    <n v="10693255412"/>
    <x v="2"/>
    <s v="ILAC"/>
    <s v="Reimbursed"/>
    <s v="No"/>
  </r>
  <r>
    <n v="3"/>
    <s v="Jan2025"/>
    <s v="Sunday"/>
    <x v="3"/>
    <n v="4"/>
    <n v="10694732472"/>
    <x v="2"/>
    <s v="ILAC"/>
    <s v="WD"/>
    <s v="Yes"/>
  </r>
  <r>
    <n v="3"/>
    <s v="Jan2025"/>
    <s v="Sunday"/>
    <x v="3"/>
    <n v="5"/>
    <n v="10690631522"/>
    <x v="1"/>
    <s v="ILAC"/>
    <s v="POD"/>
    <s v="No"/>
  </r>
  <r>
    <n v="3"/>
    <s v="Jan2025"/>
    <s v="Sunday"/>
    <x v="3"/>
    <n v="6"/>
    <n v="10683478002"/>
    <x v="1"/>
    <s v="ILAC"/>
    <s v="BOL"/>
    <s v="No"/>
  </r>
  <r>
    <n v="3"/>
    <s v="Jan2025"/>
    <s v="Sunday"/>
    <x v="3"/>
    <n v="7"/>
    <n v="10693130582"/>
    <x v="2"/>
    <s v="ILAC"/>
    <s v="Reimbursed"/>
    <s v="Yes"/>
  </r>
  <r>
    <n v="3"/>
    <s v="Jan2025"/>
    <s v="Sunday"/>
    <x v="3"/>
    <n v="8"/>
    <n v="10693890132"/>
    <x v="2"/>
    <s v="FBA"/>
    <s v="WD"/>
    <s v="No"/>
  </r>
  <r>
    <n v="3"/>
    <s v="Jan2025"/>
    <s v="Sunday"/>
    <x v="3"/>
    <n v="9"/>
    <n v="10699065612"/>
    <x v="3"/>
    <s v="FBA"/>
    <s v="FC processing"/>
    <s v="No"/>
  </r>
  <r>
    <n v="3"/>
    <s v="Jan2025"/>
    <s v="Sunday"/>
    <x v="3"/>
    <n v="10"/>
    <n v="10682112762"/>
    <x v="2"/>
    <s v="FBA"/>
    <s v="Damaged inventory"/>
    <s v="No"/>
  </r>
  <r>
    <n v="3"/>
    <s v="Jan2025"/>
    <s v="Sunday"/>
    <x v="3"/>
    <n v="11"/>
    <n v="10699946072"/>
    <x v="2"/>
    <s v="FBA"/>
    <s v="Easyship "/>
    <s v="Yes"/>
  </r>
  <r>
    <n v="3"/>
    <s v="Jan2025"/>
    <s v="Sunday"/>
    <x v="3"/>
    <n v="12"/>
    <n v="10699979222"/>
    <x v="2"/>
    <s v="MAT"/>
    <s v="Payments"/>
    <s v="Yes"/>
  </r>
  <r>
    <n v="3"/>
    <s v="Jan2025"/>
    <s v="Sunday"/>
    <x v="3"/>
    <n v="13"/>
    <n v="10700029662"/>
    <x v="2"/>
    <s v="FBA"/>
    <s v="Reserved inventory"/>
    <s v="Yes"/>
  </r>
  <r>
    <n v="3"/>
    <s v="Jan2025"/>
    <s v="Sunday"/>
    <x v="3"/>
    <n v="14"/>
    <n v="10699065612"/>
    <x v="1"/>
    <s v="FBA"/>
    <s v="FC processing"/>
    <s v="No"/>
  </r>
  <r>
    <n v="3"/>
    <s v="Jan2025"/>
    <s v="Sunday"/>
    <x v="3"/>
    <n v="15"/>
    <n v="10692634822"/>
    <x v="2"/>
    <s v="ILAC"/>
    <s v="WD"/>
    <s v="Yes"/>
  </r>
  <r>
    <n v="3"/>
    <s v="Jan2025"/>
    <s v="Monday"/>
    <x v="4"/>
    <n v="1"/>
    <n v="10700450482"/>
    <x v="2"/>
    <s v="FBA"/>
    <s v="ASIN remap"/>
    <s v="No"/>
  </r>
  <r>
    <n v="3"/>
    <s v="Jan2025"/>
    <s v="Monday"/>
    <x v="4"/>
    <n v="2"/>
    <n v="10694523652"/>
    <x v="1"/>
    <s v="ILAC"/>
    <s v="Invoice"/>
    <s v="No"/>
  </r>
  <r>
    <n v="3"/>
    <s v="Jan2025"/>
    <s v="Monday"/>
    <x v="4"/>
    <n v="3"/>
    <n v="10694452952"/>
    <x v="2"/>
    <s v="ILAC"/>
    <s v="Prohibited items"/>
    <s v="No"/>
  </r>
  <r>
    <n v="3"/>
    <s v="Jan2025"/>
    <s v="Monday"/>
    <x v="4"/>
    <n v="4"/>
    <n v="10700939212"/>
    <x v="2"/>
    <s v="MAT"/>
    <s v="BP"/>
    <s v="No"/>
  </r>
  <r>
    <n v="3"/>
    <s v="Jan2025"/>
    <s v="Monday"/>
    <x v="4"/>
    <n v="5"/>
    <n v="10700957592"/>
    <x v="2"/>
    <s v="MAT"/>
    <s v="Easyship "/>
    <s v="No"/>
  </r>
  <r>
    <n v="3"/>
    <s v="Jan2025"/>
    <s v="Monday"/>
    <x v="4"/>
    <n v="6"/>
    <n v="10697117212"/>
    <x v="2"/>
    <s v="ILAC"/>
    <s v="Item Ineligible"/>
    <s v="No"/>
  </r>
  <r>
    <n v="3"/>
    <s v="Jan2025"/>
    <s v="Monday"/>
    <x v="4"/>
    <n v="7"/>
    <n v="10697582732"/>
    <x v="2"/>
    <s v="ILAC"/>
    <s v="Item Ineligible"/>
    <s v="No"/>
  </r>
  <r>
    <n v="3"/>
    <s v="Jan2025"/>
    <s v="Monday"/>
    <x v="4"/>
    <n v="8"/>
    <n v="10701209692"/>
    <x v="2"/>
    <s v="MAT"/>
    <s v="Review"/>
    <s v="No"/>
  </r>
  <r>
    <n v="3"/>
    <s v="Jan2025"/>
    <s v="Monday"/>
    <x v="4"/>
    <n v="9"/>
    <n v="10543349372"/>
    <x v="3"/>
    <s v="FBA"/>
    <s v="Open TT"/>
    <s v="No"/>
  </r>
  <r>
    <n v="3"/>
    <s v="Jan2025"/>
    <s v="Monday"/>
    <x v="4"/>
    <n v="10"/>
    <n v="10700706702"/>
    <x v="2"/>
    <s v="FBA"/>
    <s v="Lost inventory"/>
    <s v="No"/>
  </r>
  <r>
    <n v="3"/>
    <s v="Jan2025"/>
    <s v="Monday"/>
    <x v="4"/>
    <n v="11"/>
    <n v="10701161422"/>
    <x v="0"/>
    <s v="MAT"/>
    <s v="WF auto transfer"/>
    <s v="Yes"/>
  </r>
  <r>
    <n v="3"/>
    <s v="Jan2025"/>
    <s v="Monday"/>
    <x v="4"/>
    <n v="12"/>
    <n v="10700807812"/>
    <x v="3"/>
    <s v="FBA"/>
    <s v="Open TT"/>
    <s v="No"/>
  </r>
  <r>
    <n v="3"/>
    <s v="Jan2025"/>
    <s v="Monday"/>
    <x v="4"/>
    <n v="13"/>
    <n v="10688552812"/>
    <x v="2"/>
    <s v="FBA"/>
    <s v="Removal Order"/>
    <s v="No"/>
  </r>
  <r>
    <n v="3"/>
    <s v="Jan2025"/>
    <s v="Monday"/>
    <x v="4"/>
    <n v="14"/>
    <n v="10696218362"/>
    <x v="2"/>
    <s v="FBA"/>
    <s v="Receiving"/>
    <s v="No"/>
  </r>
  <r>
    <n v="3"/>
    <s v="Jan2025"/>
    <s v="Monday"/>
    <x v="4"/>
    <n v="15"/>
    <n v="10701569842"/>
    <x v="2"/>
    <s v="MAT"/>
    <s v="Featured offer"/>
    <s v="No"/>
  </r>
  <r>
    <n v="3"/>
    <s v="Jan2025"/>
    <s v="Monday"/>
    <x v="4"/>
    <n v="16"/>
    <n v="10702251802"/>
    <x v="2"/>
    <s v="FBA"/>
    <s v="Receiving"/>
    <s v="No"/>
  </r>
  <r>
    <n v="3"/>
    <s v="Jan2025"/>
    <s v="Monday"/>
    <x v="4"/>
    <n v="17"/>
    <n v="10701776952"/>
    <x v="2"/>
    <s v="FBA"/>
    <s v="Reserved inventory"/>
    <s v="No"/>
  </r>
  <r>
    <n v="3"/>
    <s v="Jan2025"/>
    <s v="Monday"/>
    <x v="4"/>
    <n v="18"/>
    <n v="10702445852"/>
    <x v="4"/>
    <s v="MAT"/>
    <s v="Chat disconnected"/>
    <s v="No"/>
  </r>
  <r>
    <n v="3"/>
    <s v="Jan2025"/>
    <s v="Monday"/>
    <x v="4"/>
    <n v="19"/>
    <n v="10701054712"/>
    <x v="2"/>
    <s v="ILAC"/>
    <s v="Shipment over 6 months"/>
    <s v="No"/>
  </r>
  <r>
    <n v="3"/>
    <s v="Jan2025"/>
    <s v="Monday"/>
    <x v="4"/>
    <n v="21"/>
    <n v="10702784802"/>
    <x v="2"/>
    <s v="ILAC"/>
    <s v="Stranded inventory"/>
    <s v="No"/>
  </r>
  <r>
    <n v="3"/>
    <s v="Jan2025"/>
    <s v="Thursday"/>
    <x v="5"/>
    <n v="1"/>
    <n v="10706808982"/>
    <x v="2"/>
    <s v="MAT"/>
    <s v="Vendor Support"/>
    <s v="No"/>
  </r>
  <r>
    <n v="3"/>
    <s v="Jan2025"/>
    <s v="Thursday"/>
    <x v="5"/>
    <n v="2"/>
    <n v="10702729792"/>
    <x v="2"/>
    <s v="ILAC"/>
    <s v="Reimbursed"/>
    <s v="No"/>
  </r>
  <r>
    <n v="3"/>
    <s v="Jan2025"/>
    <s v="Thursday"/>
    <x v="5"/>
    <n v="3"/>
    <n v="10697931522"/>
    <x v="1"/>
    <s v="ILAC"/>
    <s v="More time req"/>
    <s v="No"/>
  </r>
  <r>
    <n v="3"/>
    <s v="Jan2025"/>
    <s v="Thursday"/>
    <x v="5"/>
    <n v="4"/>
    <n v="10697967422"/>
    <x v="2"/>
    <s v="ILAC"/>
    <s v="Reconciled"/>
    <s v="No"/>
  </r>
  <r>
    <n v="3"/>
    <s v="Jan2025"/>
    <s v="Thursday"/>
    <x v="5"/>
    <n v="5"/>
    <n v="10701754652"/>
    <x v="2"/>
    <s v="ILAC"/>
    <s v="Merged case"/>
    <s v="No"/>
  </r>
  <r>
    <n v="3"/>
    <s v="Jan2025"/>
    <s v="Thursday"/>
    <x v="5"/>
    <n v="6"/>
    <n v="10702604652"/>
    <x v="2"/>
    <s v="ILAC"/>
    <s v="Reimbursed"/>
    <s v="No"/>
  </r>
  <r>
    <n v="3"/>
    <s v="Jan2025"/>
    <s v="Thursday"/>
    <x v="5"/>
    <n v="7"/>
    <n v="10703536132"/>
    <x v="2"/>
    <s v="ILAC"/>
    <s v="Reimbursed"/>
    <s v="No"/>
  </r>
  <r>
    <n v="3"/>
    <s v="Jan2025"/>
    <s v="Thursday"/>
    <x v="5"/>
    <n v="8"/>
    <n v="10703569612"/>
    <x v="2"/>
    <s v="ILAC"/>
    <s v="Reimbursed"/>
    <s v="No"/>
  </r>
  <r>
    <n v="3"/>
    <s v="Jan2025"/>
    <s v="Thursday"/>
    <x v="5"/>
    <n v="9"/>
    <n v="10622949542"/>
    <x v="3"/>
    <s v="MAT"/>
    <s v="Open TT"/>
    <s v="Yes"/>
  </r>
  <r>
    <n v="3"/>
    <s v="Jan2025"/>
    <s v="Thursday"/>
    <x v="5"/>
    <n v="10"/>
    <n v="10699589782"/>
    <x v="2"/>
    <s v="FBA"/>
    <s v="Lost inventory"/>
    <s v="No"/>
  </r>
  <r>
    <n v="3"/>
    <s v="Jan2025"/>
    <s v="Thursday"/>
    <x v="5"/>
    <n v="11"/>
    <n v="10707641862"/>
    <x v="0"/>
    <s v="FBA"/>
    <s v="BR support"/>
    <s v="No"/>
  </r>
  <r>
    <n v="3"/>
    <s v="Jan2025"/>
    <s v="Thursday"/>
    <x v="5"/>
    <n v="12"/>
    <n v="10711680612"/>
    <x v="2"/>
    <s v="MAT"/>
    <s v="Pricing error"/>
    <s v="Yes"/>
  </r>
  <r>
    <n v="3"/>
    <s v="Jan2025"/>
    <s v="Thursday"/>
    <x v="5"/>
    <n v="13"/>
    <n v="10686212972"/>
    <x v="2"/>
    <s v="FBA"/>
    <s v="Merged case"/>
    <s v="No"/>
  </r>
  <r>
    <n v="3"/>
    <s v="Jan2025"/>
    <s v="Thursday"/>
    <x v="5"/>
    <n v="14"/>
    <n v="10710779662"/>
    <x v="2"/>
    <s v="ILAC"/>
    <s v="Receiving"/>
    <s v="No"/>
  </r>
  <r>
    <n v="3"/>
    <s v="Jan2025"/>
    <s v="Thursday"/>
    <x v="5"/>
    <n v="15"/>
    <n v="10710671102"/>
    <x v="2"/>
    <s v="FBA"/>
    <s v="Customer return"/>
    <s v="No"/>
  </r>
  <r>
    <n v="3"/>
    <s v="Jan2025"/>
    <s v="Thursday"/>
    <x v="5"/>
    <n v="16"/>
    <n v="10709276782"/>
    <x v="2"/>
    <s v="MAT"/>
    <s v="E5461"/>
    <s v="No"/>
  </r>
  <r>
    <n v="3"/>
    <s v="Jan2025"/>
    <s v="Thursday"/>
    <x v="5"/>
    <n v="17"/>
    <n v="10712344502"/>
    <x v="2"/>
    <s v="MAT"/>
    <s v="Account status"/>
    <s v="No"/>
  </r>
  <r>
    <n v="3"/>
    <s v="Jan2025"/>
    <s v="Thursday"/>
    <x v="5"/>
    <n v="18"/>
    <n v="10704677712"/>
    <x v="1"/>
    <s v="ILAC"/>
    <s v="POD"/>
    <s v="No"/>
  </r>
  <r>
    <n v="3"/>
    <s v="Jan2025"/>
    <s v="Thursday"/>
    <x v="5"/>
    <n v="19"/>
    <n v="10705335932"/>
    <x v="2"/>
    <s v="MAT"/>
    <s v="VTR"/>
    <s v="No"/>
  </r>
  <r>
    <n v="3"/>
    <s v="Jan2025"/>
    <s v="Thursday"/>
    <x v="5"/>
    <n v="20"/>
    <n v="10712012692"/>
    <x v="2"/>
    <s v="MAT"/>
    <s v="Product Safety"/>
    <s v="No"/>
  </r>
  <r>
    <n v="3"/>
    <s v="Jan2025"/>
    <s v="Thursday"/>
    <x v="5"/>
    <n v="21"/>
    <n v="10712002452"/>
    <x v="2"/>
    <s v="MAT"/>
    <s v="E5886"/>
    <s v="No"/>
  </r>
  <r>
    <n v="3"/>
    <s v="Jan2025"/>
    <s v="Thursday"/>
    <x v="5"/>
    <n v="22"/>
    <n v="10712627252"/>
    <x v="0"/>
    <s v="MAT"/>
    <s v="Feeds"/>
    <s v="Yes"/>
  </r>
  <r>
    <n v="3"/>
    <s v="Jan2025"/>
    <s v="Thursday"/>
    <x v="5"/>
    <n v="23"/>
    <n v="10709440662"/>
    <x v="2"/>
    <s v="MAT"/>
    <s v="E5461"/>
    <s v="No"/>
  </r>
  <r>
    <n v="3"/>
    <s v="Jan2025"/>
    <s v="Thursday"/>
    <x v="5"/>
    <n v="24"/>
    <n v="10694249592"/>
    <x v="2"/>
    <s v="ILAC"/>
    <s v="WD"/>
    <s v="No"/>
  </r>
  <r>
    <n v="3"/>
    <s v="Jan2025"/>
    <s v="Thursday"/>
    <x v="5"/>
    <n v="25"/>
    <n v="10712420802"/>
    <x v="0"/>
    <s v="MAT"/>
    <s v="KYC"/>
    <s v="No"/>
  </r>
  <r>
    <n v="3"/>
    <s v="Jan2025"/>
    <s v="Friday"/>
    <x v="6"/>
    <n v="1"/>
    <n v="10705563662"/>
    <x v="2"/>
    <s v="FBA"/>
    <s v="Safe-T claim"/>
    <s v="No"/>
  </r>
  <r>
    <n v="3"/>
    <s v="Jan2025"/>
    <s v="Friday"/>
    <x v="6"/>
    <n v="2"/>
    <n v="10668563822"/>
    <x v="1"/>
    <s v="ILAC"/>
    <s v="More time req"/>
    <s v="Yes"/>
  </r>
  <r>
    <n v="3"/>
    <s v="Jan2025"/>
    <s v="Friday"/>
    <x v="6"/>
    <n v="3"/>
    <n v="10713740692"/>
    <x v="2"/>
    <s v="FBA"/>
    <s v="Lost inventory"/>
    <s v="No"/>
  </r>
  <r>
    <n v="3"/>
    <s v="Jan2025"/>
    <s v="Friday"/>
    <x v="6"/>
    <n v="4"/>
    <n v="10703797122"/>
    <x v="2"/>
    <s v="FBA"/>
    <s v="Removal Order"/>
    <s v="Yes"/>
  </r>
  <r>
    <n v="3"/>
    <s v="Jan2025"/>
    <s v="Friday"/>
    <x v="6"/>
    <n v="5"/>
    <n v="10712673612"/>
    <x v="3"/>
    <s v="FBA"/>
    <s v="Open TT"/>
    <s v="No"/>
  </r>
  <r>
    <n v="3"/>
    <s v="Jan2025"/>
    <s v="Friday"/>
    <x v="6"/>
    <n v="6"/>
    <n v="10714374742"/>
    <x v="0"/>
    <s v="MAT"/>
    <s v="BR support"/>
    <s v="No"/>
  </r>
  <r>
    <n v="3"/>
    <s v="Jan2025"/>
    <s v="Friday"/>
    <x v="6"/>
    <n v="7"/>
    <n v="10713053352"/>
    <x v="2"/>
    <s v="FBA"/>
    <s v="Removal Order"/>
    <s v="No"/>
  </r>
  <r>
    <n v="3"/>
    <s v="Jan2025"/>
    <s v="Friday"/>
    <x v="6"/>
    <n v="8"/>
    <n v="10708223362"/>
    <x v="2"/>
    <s v="ILAC"/>
    <s v="Reconciled"/>
    <s v="Yes"/>
  </r>
  <r>
    <n v="3"/>
    <s v="Jan2025"/>
    <s v="Friday"/>
    <x v="6"/>
    <n v="9"/>
    <n v="10714927132"/>
    <x v="2"/>
    <s v="MAT"/>
    <s v="Payments"/>
    <s v="No"/>
  </r>
  <r>
    <n v="3"/>
    <s v="Jan2025"/>
    <s v="Friday"/>
    <x v="6"/>
    <n v="10"/>
    <n v="10713852862"/>
    <x v="1"/>
    <s v="MAT"/>
    <s v="Order of a different selling account"/>
    <s v="No"/>
  </r>
  <r>
    <n v="3"/>
    <s v="Jan2025"/>
    <s v="Friday"/>
    <x v="6"/>
    <n v="11"/>
    <n v="10638550132"/>
    <x v="2"/>
    <s v="FBA"/>
    <s v="Amazon partnered carrier RMS req"/>
    <s v="Yes"/>
  </r>
  <r>
    <n v="3"/>
    <s v="Jan2025"/>
    <s v="Friday"/>
    <x v="6"/>
    <n v="12"/>
    <n v="10707170392"/>
    <x v="1"/>
    <s v="MAT"/>
    <s v="Unable to create a listing"/>
    <s v="No"/>
  </r>
  <r>
    <n v="3"/>
    <s v="Jan2025"/>
    <s v="Friday"/>
    <x v="6"/>
    <n v="13"/>
    <n v="10714746962"/>
    <x v="2"/>
    <s v="FBA"/>
    <s v="Removal Order"/>
    <s v="Yes"/>
  </r>
  <r>
    <n v="3"/>
    <s v="Jan2025"/>
    <s v="Friday"/>
    <x v="6"/>
    <n v="14"/>
    <n v="10714824872"/>
    <x v="2"/>
    <s v="ILAC"/>
    <s v="Item Ineligible"/>
    <s v="No"/>
  </r>
  <r>
    <n v="3"/>
    <s v="Jan2025"/>
    <s v="Friday"/>
    <x v="6"/>
    <n v="15"/>
    <n v="10714936802"/>
    <x v="2"/>
    <s v="MAT"/>
    <s v="Featured offer"/>
    <s v="Yes"/>
  </r>
  <r>
    <n v="3"/>
    <s v="Jan2025"/>
    <s v="Friday"/>
    <x v="6"/>
    <n v="16"/>
    <n v="10706061282"/>
    <x v="2"/>
    <s v="ILAC"/>
    <s v="Reimbursed"/>
    <s v="No"/>
  </r>
  <r>
    <n v="3"/>
    <s v="Jan2025"/>
    <s v="Friday"/>
    <x v="6"/>
    <n v="17"/>
    <n v="10709176092"/>
    <x v="1"/>
    <s v="ILAC"/>
    <s v="BOL"/>
    <s v="No"/>
  </r>
  <r>
    <n v="3"/>
    <s v="Jan2025"/>
    <s v="Friday"/>
    <x v="6"/>
    <n v="18"/>
    <n v="10715578772"/>
    <x v="3"/>
    <s v="MAT"/>
    <s v="Open TT"/>
    <s v="No"/>
  </r>
  <r>
    <n v="3"/>
    <s v="Jan2025"/>
    <s v="Friday"/>
    <x v="6"/>
    <n v="19"/>
    <n v="10714665402"/>
    <x v="2"/>
    <s v="ILAC"/>
    <s v="Contents tab"/>
    <s v="No"/>
  </r>
  <r>
    <n v="3"/>
    <s v="Jan2025"/>
    <s v="Friday"/>
    <x v="6"/>
    <n v="20"/>
    <n v="10715437322"/>
    <x v="2"/>
    <s v="FBA"/>
    <s v="Removal Order"/>
    <s v="Yes"/>
  </r>
  <r>
    <n v="3"/>
    <s v="Jan2025"/>
    <s v="Friday"/>
    <x v="6"/>
    <n v="21"/>
    <n v="10674376312"/>
    <x v="3"/>
    <s v="ILAC"/>
    <s v="Open TT"/>
    <s v="No"/>
  </r>
  <r>
    <n v="3"/>
    <s v="Jan2025"/>
    <s v="Friday"/>
    <x v="6"/>
    <n v="22"/>
    <n v="10590311422"/>
    <x v="3"/>
    <s v="MAT"/>
    <s v="Open TT"/>
    <s v="No"/>
  </r>
  <r>
    <n v="3"/>
    <s v="Jan2025"/>
    <s v="Friday"/>
    <x v="6"/>
    <n v="23"/>
    <n v="10715495522"/>
    <x v="2"/>
    <s v="MAT"/>
    <s v="Featured offer"/>
    <s v="No"/>
  </r>
  <r>
    <n v="3"/>
    <s v="Jan2025"/>
    <s v="Friday"/>
    <x v="6"/>
    <n v="24"/>
    <n v="10705681592"/>
    <x v="2"/>
    <s v="FBA"/>
    <s v="Lost inventory"/>
    <s v="No"/>
  </r>
  <r>
    <n v="3"/>
    <s v="Jan2025"/>
    <s v="Saturday"/>
    <x v="7"/>
    <n v="1"/>
    <n v="10711298442"/>
    <x v="3"/>
    <s v="ILAC"/>
    <s v="Open TT"/>
    <s v="No"/>
  </r>
  <r>
    <n v="3"/>
    <s v="Jan2025"/>
    <s v="Saturday"/>
    <x v="7"/>
    <n v="2"/>
    <n v="10706987982"/>
    <x v="2"/>
    <s v="ILAC"/>
    <s v="Reimbursed"/>
    <s v="Yes"/>
  </r>
  <r>
    <n v="3"/>
    <s v="Jan2025"/>
    <s v="Saturday"/>
    <x v="7"/>
    <n v="3"/>
    <n v="10706527692"/>
    <x v="1"/>
    <s v="ILAC"/>
    <s v="BOL"/>
    <s v="No"/>
  </r>
  <r>
    <n v="3"/>
    <s v="Jan2025"/>
    <s v="Saturday"/>
    <x v="7"/>
    <n v="4"/>
    <n v="10707416862"/>
    <x v="2"/>
    <s v="ILAC"/>
    <s v="Reimbursed"/>
    <s v="No"/>
  </r>
  <r>
    <n v="3"/>
    <s v="Jan2025"/>
    <s v="Saturday"/>
    <x v="7"/>
    <n v="5"/>
    <n v="10717979842"/>
    <x v="2"/>
    <s v="FBA"/>
    <s v="Orders"/>
    <s v="No"/>
  </r>
  <r>
    <n v="3"/>
    <s v="Jan2025"/>
    <s v="Saturday"/>
    <x v="7"/>
    <n v="6"/>
    <n v="10712723252"/>
    <x v="2"/>
    <s v="ILAC"/>
    <s v="WD"/>
    <s v="No"/>
  </r>
  <r>
    <n v="3"/>
    <s v="Jan2025"/>
    <s v="Saturday"/>
    <x v="7"/>
    <n v="7"/>
    <n v="10718038222"/>
    <x v="2"/>
    <s v="FBA"/>
    <s v="Stranded inventory"/>
    <s v="No"/>
  </r>
  <r>
    <n v="3"/>
    <s v="Jan2025"/>
    <s v="Saturday"/>
    <x v="7"/>
    <n v="8"/>
    <n v="10676644972"/>
    <x v="3"/>
    <s v="FBA"/>
    <s v="Contacted carrier // Follow up required"/>
    <s v="No"/>
  </r>
  <r>
    <n v="3"/>
    <s v="Jan2025"/>
    <s v="Saturday"/>
    <x v="7"/>
    <n v="9"/>
    <n v="10717227622"/>
    <x v="2"/>
    <s v="FBA"/>
    <s v="Lost inventory"/>
    <s v="No"/>
  </r>
  <r>
    <n v="3"/>
    <s v="Jan2025"/>
    <s v="Saturday"/>
    <x v="7"/>
    <n v="10"/>
    <n v="10481645332"/>
    <x v="3"/>
    <s v="FBA"/>
    <s v="Open TT"/>
    <s v="No"/>
  </r>
  <r>
    <n v="3"/>
    <s v="Jan2025"/>
    <s v="Saturday"/>
    <x v="7"/>
    <n v="11"/>
    <n v="10717774582"/>
    <x v="2"/>
    <s v="FBA"/>
    <s v="Lost inventory"/>
    <s v="No"/>
  </r>
  <r>
    <n v="3"/>
    <s v="Jan2025"/>
    <s v="Saturday"/>
    <x v="7"/>
    <n v="12"/>
    <n v="10712690702"/>
    <x v="2"/>
    <s v="ILAC"/>
    <s v="Reconciled"/>
    <s v="No"/>
  </r>
  <r>
    <n v="3"/>
    <s v="Jan2025"/>
    <s v="Saturday"/>
    <x v="7"/>
    <n v="13"/>
    <n v="10717391652"/>
    <x v="2"/>
    <s v="FBA"/>
    <s v="Removal Order"/>
    <s v="No"/>
  </r>
  <r>
    <n v="3"/>
    <s v="Jan2025"/>
    <s v="Saturday"/>
    <x v="7"/>
    <n v="14"/>
    <n v="10717774022"/>
    <x v="1"/>
    <s v="MAT"/>
    <s v="Product type"/>
    <s v="No"/>
  </r>
  <r>
    <n v="3"/>
    <s v="Jan2025"/>
    <s v="Saturday"/>
    <x v="7"/>
    <n v="15"/>
    <n v="10711842112"/>
    <x v="3"/>
    <s v="FBA"/>
    <s v="Open TT"/>
    <s v="No"/>
  </r>
  <r>
    <n v="3"/>
    <s v="Jan2025"/>
    <s v="Saturday"/>
    <x v="7"/>
    <n v="16"/>
    <n v="10717766872"/>
    <x v="2"/>
    <s v="FBA"/>
    <s v="Removal Order"/>
    <s v="No"/>
  </r>
  <r>
    <n v="3"/>
    <s v="Jan2025"/>
    <s v="Saturday"/>
    <x v="7"/>
    <n v="17"/>
    <n v="10717142642"/>
    <x v="2"/>
    <s v="FBA"/>
    <s v="Removal Order"/>
    <s v="No"/>
  </r>
  <r>
    <n v="3"/>
    <s v="Jan2025"/>
    <s v="Saturday"/>
    <x v="7"/>
    <n v="18"/>
    <n v="10717940732"/>
    <x v="2"/>
    <s v="MAT"/>
    <s v="Approval button"/>
    <s v="No"/>
  </r>
  <r>
    <n v="3"/>
    <s v="Jan2025"/>
    <s v="Saturday"/>
    <x v="7"/>
    <n v="19"/>
    <n v="10716400052"/>
    <x v="0"/>
    <s v="MAT"/>
    <s v="FBA"/>
    <s v="Yes"/>
  </r>
  <r>
    <n v="3"/>
    <s v="Jan2025"/>
    <s v="Saturday"/>
    <x v="7"/>
    <n v="20"/>
    <n v="10717801982"/>
    <x v="1"/>
    <s v="ILAC"/>
    <s v="Invoice"/>
    <s v="No"/>
  </r>
  <r>
    <n v="3"/>
    <s v="Jan2025"/>
    <s v="Saturday"/>
    <x v="7"/>
    <n v="21"/>
    <n v="10716916222"/>
    <x v="3"/>
    <s v="FBA"/>
    <s v="Reserved inventory"/>
    <s v="No"/>
  </r>
  <r>
    <n v="3"/>
    <s v="Jan2025"/>
    <s v="Saturday"/>
    <x v="7"/>
    <n v="22"/>
    <n v="10718148432"/>
    <x v="2"/>
    <s v="FBA"/>
    <s v="Removal Order"/>
    <s v="Yes"/>
  </r>
  <r>
    <n v="3"/>
    <s v="Jan2025"/>
    <s v="Saturday"/>
    <x v="7"/>
    <n v="23"/>
    <n v="10718177212"/>
    <x v="1"/>
    <s v="MAT"/>
    <s v="E5885"/>
    <s v="Yes"/>
  </r>
  <r>
    <n v="4"/>
    <s v="Jan2025"/>
    <s v="Tuesday"/>
    <x v="8"/>
    <n v="1"/>
    <n v="10713992762"/>
    <x v="1"/>
    <s v="ILAC"/>
    <s v="Req info"/>
    <s v="No"/>
  </r>
  <r>
    <n v="4"/>
    <s v="Jan2025"/>
    <s v="Tuesday"/>
    <x v="8"/>
    <n v="2"/>
    <n v="10715197812"/>
    <x v="3"/>
    <s v="FBA"/>
    <s v="Open TT"/>
    <s v="No"/>
  </r>
  <r>
    <n v="4"/>
    <s v="Jan2025"/>
    <s v="Tuesday"/>
    <x v="8"/>
    <n v="3"/>
    <n v="10723808572"/>
    <x v="2"/>
    <s v="FBA"/>
    <s v="Lost inventory"/>
    <s v="No"/>
  </r>
  <r>
    <n v="4"/>
    <s v="Jan2025"/>
    <s v="Tuesday"/>
    <x v="8"/>
    <n v="4"/>
    <n v="10705379012"/>
    <x v="2"/>
    <s v="ILAC"/>
    <s v="Reconciled"/>
    <s v="No"/>
  </r>
  <r>
    <n v="4"/>
    <s v="Jan2025"/>
    <s v="Tuesday"/>
    <x v="8"/>
    <n v="5"/>
    <n v="10724456112"/>
    <x v="2"/>
    <s v="FBA"/>
    <s v="Lost inventory"/>
    <s v="No"/>
  </r>
  <r>
    <n v="4"/>
    <s v="Jan2025"/>
    <s v="Tuesday"/>
    <x v="8"/>
    <n v="6"/>
    <n v="10725080472"/>
    <x v="2"/>
    <s v="FBA"/>
    <s v="Removal Order"/>
    <s v="Yes"/>
  </r>
  <r>
    <n v="4"/>
    <s v="Jan2025"/>
    <s v="Tuesday"/>
    <x v="8"/>
    <n v="7"/>
    <n v="10723443142"/>
    <x v="2"/>
    <s v="FBA"/>
    <s v="Removal Order"/>
    <s v="No"/>
  </r>
  <r>
    <n v="4"/>
    <s v="Jan2025"/>
    <s v="Tuesday"/>
    <x v="8"/>
    <n v="8"/>
    <n v="10724356382"/>
    <x v="2"/>
    <s v="ILAC"/>
    <s v="Contents tab"/>
    <s v="Yes"/>
  </r>
  <r>
    <n v="4"/>
    <s v="Jan2025"/>
    <s v="Tuesday"/>
    <x v="8"/>
    <n v="9"/>
    <n v="10723506932"/>
    <x v="2"/>
    <s v="ILAC"/>
    <s v="Contents tab"/>
    <s v="No"/>
  </r>
  <r>
    <n v="4"/>
    <s v="Jan2025"/>
    <s v="Tuesday"/>
    <x v="8"/>
    <n v="10"/>
    <n v="10719520122"/>
    <x v="2"/>
    <s v="FBA"/>
    <s v="Lost inventory"/>
    <s v="No"/>
  </r>
  <r>
    <n v="4"/>
    <s v="Jan2025"/>
    <s v="Tuesday"/>
    <x v="8"/>
    <n v="11"/>
    <n v="10724391312"/>
    <x v="2"/>
    <s v="FBA"/>
    <s v="Orders"/>
    <s v="Yes"/>
  </r>
  <r>
    <n v="4"/>
    <s v="Jan2025"/>
    <s v="Tuesday"/>
    <x v="8"/>
    <n v="12"/>
    <n v="10724600742"/>
    <x v="1"/>
    <s v="FBA"/>
    <s v="Removal Order"/>
    <s v="Yes"/>
  </r>
  <r>
    <n v="4"/>
    <s v="Jan2025"/>
    <s v="Tuesday"/>
    <x v="8"/>
    <n v="13"/>
    <n v="10724994882"/>
    <x v="2"/>
    <s v="FBA"/>
    <s v="Delivered shipment"/>
    <s v="No"/>
  </r>
  <r>
    <n v="4"/>
    <s v="Jan2025"/>
    <s v="Tuesday"/>
    <x v="8"/>
    <n v="14"/>
    <n v="10701760422"/>
    <x v="1"/>
    <s v="ILAC"/>
    <s v="SP says there is still 139 units missing"/>
    <s v="No"/>
  </r>
  <r>
    <n v="4"/>
    <s v="Jan2025"/>
    <s v="Tuesday"/>
    <x v="8"/>
    <n v="15"/>
    <n v="10724600742"/>
    <x v="1"/>
    <s v="FBA"/>
    <s v="Removal Order"/>
    <s v="No"/>
  </r>
  <r>
    <n v="4"/>
    <s v="Jan2025"/>
    <s v="Tuesday"/>
    <x v="8"/>
    <n v="16"/>
    <n v="10725111962"/>
    <x v="2"/>
    <s v="MAT"/>
    <s v="Product compliance"/>
    <s v="Yes"/>
  </r>
  <r>
    <n v="4"/>
    <s v="Jan2025"/>
    <s v="Tuesday"/>
    <x v="8"/>
    <n v="17"/>
    <n v="10725285902"/>
    <x v="0"/>
    <s v="ILAC"/>
    <s v="HV"/>
    <s v="No"/>
  </r>
  <r>
    <n v="4"/>
    <s v="Jan2025"/>
    <s v="Tuesday"/>
    <x v="8"/>
    <n v="18"/>
    <n v="10725770152"/>
    <x v="0"/>
    <s v="ILAC"/>
    <s v="SA"/>
    <s v="No"/>
  </r>
  <r>
    <n v="4"/>
    <s v="Jan2025"/>
    <s v="Tuesday"/>
    <x v="8"/>
    <n v="19"/>
    <n v="10724820752"/>
    <x v="2"/>
    <s v="ILAC"/>
    <s v="HV"/>
    <s v="Yes"/>
  </r>
  <r>
    <n v="4"/>
    <s v="Jan2025"/>
    <s v="Tuesday"/>
    <x v="8"/>
    <n v="20"/>
    <n v="10653941782"/>
    <x v="1"/>
    <s v="ILAC"/>
    <s v="Invoice"/>
    <s v="No"/>
  </r>
  <r>
    <n v="4"/>
    <s v="Jan2025"/>
    <s v="Tuesday"/>
    <x v="8"/>
    <n v="21"/>
    <n v="10725433962"/>
    <x v="2"/>
    <s v="FBA"/>
    <s v="Removal Order"/>
    <s v="Yes"/>
  </r>
  <r>
    <n v="4"/>
    <s v="Jan2025"/>
    <s v="Tuesday"/>
    <x v="8"/>
    <n v="22"/>
    <n v="10724909772"/>
    <x v="0"/>
    <s v="ILAC"/>
    <s v="HV"/>
    <s v="No"/>
  </r>
  <r>
    <n v="4"/>
    <s v="Jan2025"/>
    <s v="Tuesday"/>
    <x v="8"/>
    <n v="23"/>
    <n v="10725449312"/>
    <x v="3"/>
    <s v="FBA"/>
    <s v="Open TT"/>
    <s v="No"/>
  </r>
  <r>
    <n v="4"/>
    <s v="Jan2025"/>
    <s v="Tuesday"/>
    <x v="8"/>
    <n v="24"/>
    <n v="10725662052"/>
    <x v="2"/>
    <s v="FBA"/>
    <s v="Removal Order"/>
    <s v="No"/>
  </r>
  <r>
    <n v="4"/>
    <s v="Jan2025"/>
    <s v="Tuesday"/>
    <x v="8"/>
    <n v="25"/>
    <n v="10718384482"/>
    <x v="2"/>
    <s v="ILAC"/>
    <s v="Reconciled"/>
    <s v="No"/>
  </r>
  <r>
    <n v="4"/>
    <s v="Jan2025"/>
    <s v="Tuesday"/>
    <x v="8"/>
    <n v="26"/>
    <n v="10651963862"/>
    <x v="1"/>
    <s v="ILAC"/>
    <s v="POD"/>
    <s v="Yes"/>
  </r>
  <r>
    <n v="4"/>
    <s v="Jan2025"/>
    <s v="Tuesday"/>
    <x v="8"/>
    <n v="27"/>
    <n v="10726511022"/>
    <x v="2"/>
    <s v="MAT"/>
    <s v="Chat disconnected"/>
    <s v="Yes"/>
  </r>
  <r>
    <n v="4"/>
    <s v="Jan2025"/>
    <s v="Wednesday"/>
    <x v="9"/>
    <n v="1"/>
    <n v="10717059482"/>
    <x v="2"/>
    <s v="FBA"/>
    <s v="Stranded inventory"/>
    <s v="Yes"/>
  </r>
  <r>
    <n v="4"/>
    <s v="Jan2025"/>
    <s v="Wednesday"/>
    <x v="9"/>
    <n v="2"/>
    <n v="10719312792"/>
    <x v="2"/>
    <s v="FBA"/>
    <s v="Reserved inventory"/>
    <s v="No"/>
  </r>
  <r>
    <n v="4"/>
    <s v="Jan2025"/>
    <s v="Wednesday"/>
    <x v="9"/>
    <n v="3"/>
    <n v="10696778472"/>
    <x v="2"/>
    <s v="ILAC"/>
    <s v="Item Ineligible"/>
    <s v="No"/>
  </r>
  <r>
    <n v="4"/>
    <s v="Jan2025"/>
    <s v="Wednesday"/>
    <x v="9"/>
    <n v="4"/>
    <n v="10727690812"/>
    <x v="2"/>
    <s v="ILAC"/>
    <s v="Merged case"/>
    <s v="Yes"/>
  </r>
  <r>
    <n v="4"/>
    <s v="Jan2025"/>
    <s v="Wednesday"/>
    <x v="9"/>
    <n v="5"/>
    <n v="10728454202"/>
    <x v="3"/>
    <s v="FBA"/>
    <s v="Order not picked up"/>
    <s v="No"/>
  </r>
  <r>
    <n v="4"/>
    <s v="Jan2025"/>
    <s v="Wednesday"/>
    <x v="9"/>
    <n v="6"/>
    <n v="10723289972"/>
    <x v="2"/>
    <s v="FBA"/>
    <s v="Order fee"/>
    <s v="No"/>
  </r>
  <r>
    <n v="4"/>
    <s v="Jan2025"/>
    <s v="Wednesday"/>
    <x v="9"/>
    <n v="7"/>
    <n v="10727823402"/>
    <x v="0"/>
    <s v="ILAC"/>
    <s v="HV"/>
    <s v="No"/>
  </r>
  <r>
    <n v="4"/>
    <s v="Jan2025"/>
    <s v="Wednesday"/>
    <x v="9"/>
    <n v="8"/>
    <n v="10728033162"/>
    <x v="2"/>
    <s v="MAT"/>
    <s v="Approval button"/>
    <s v="No"/>
  </r>
  <r>
    <n v="4"/>
    <s v="Jan2025"/>
    <s v="Wednesday"/>
    <x v="9"/>
    <n v="9"/>
    <n v="10723298192"/>
    <x v="2"/>
    <s v="ILAC"/>
    <s v="Reimbursed"/>
    <s v="No"/>
  </r>
  <r>
    <n v="4"/>
    <s v="Jan2025"/>
    <s v="Wednesday"/>
    <x v="9"/>
    <n v="10"/>
    <n v="10726910072"/>
    <x v="2"/>
    <s v="ILAC"/>
    <s v="Contents tab"/>
    <s v="No"/>
  </r>
  <r>
    <n v="4"/>
    <s v="Jan2025"/>
    <s v="Wednesday"/>
    <x v="9"/>
    <n v="11"/>
    <n v="10726816752"/>
    <x v="2"/>
    <s v="MAT"/>
    <s v="E5461"/>
    <s v="No"/>
  </r>
  <r>
    <n v="4"/>
    <s v="Jan2025"/>
    <s v="Wednesday"/>
    <x v="9"/>
    <n v="12"/>
    <n v="10728458282"/>
    <x v="2"/>
    <s v="FBA"/>
    <s v="Create shipment"/>
    <s v="No"/>
  </r>
  <r>
    <n v="4"/>
    <s v="Jan2025"/>
    <s v="Wednesday"/>
    <x v="9"/>
    <n v="13"/>
    <n v="10657355442"/>
    <x v="3"/>
    <s v="FBA"/>
    <s v="Open TT"/>
    <s v="No"/>
  </r>
  <r>
    <n v="4"/>
    <s v="Jan2025"/>
    <s v="Wednesday"/>
    <x v="9"/>
    <n v="14"/>
    <n v="10725399422"/>
    <x v="2"/>
    <s v="ILAC"/>
    <s v="Item Ineligible"/>
    <s v="No"/>
  </r>
  <r>
    <n v="4"/>
    <s v="Jan2025"/>
    <s v="Wednesday"/>
    <x v="9"/>
    <n v="15"/>
    <n v="10655906282"/>
    <x v="1"/>
    <s v="ILAC"/>
    <s v="Req info"/>
    <s v="No"/>
  </r>
  <r>
    <n v="4"/>
    <s v="Jan2025"/>
    <s v="Wednesday"/>
    <x v="9"/>
    <n v="16"/>
    <n v="10728914002"/>
    <x v="0"/>
    <s v="MAT"/>
    <s v="BR support"/>
    <s v="Yes"/>
  </r>
  <r>
    <n v="4"/>
    <s v="Jan2025"/>
    <s v="Wednesday"/>
    <x v="9"/>
    <n v="17"/>
    <n v="9862668932"/>
    <x v="3"/>
    <s v="FBA"/>
    <s v="Open TT"/>
    <s v="No"/>
  </r>
  <r>
    <n v="4"/>
    <s v="Jan2025"/>
    <s v="Wednesday"/>
    <x v="9"/>
    <n v="18"/>
    <n v="10729011202"/>
    <x v="2"/>
    <s v="MAT"/>
    <s v="User permission"/>
    <s v="No"/>
  </r>
  <r>
    <n v="4"/>
    <s v="Jan2025"/>
    <s v="Wednesday"/>
    <x v="9"/>
    <n v="19"/>
    <n v="10725253562"/>
    <x v="2"/>
    <s v="FBA"/>
    <s v="Non returnable ASIN"/>
    <s v="No"/>
  </r>
  <r>
    <n v="4"/>
    <s v="Jan2025"/>
    <s v="Wednesday"/>
    <x v="9"/>
    <n v="20"/>
    <n v="10709176092"/>
    <x v="1"/>
    <s v="ILAC"/>
    <s v="BOL"/>
    <s v="No"/>
  </r>
  <r>
    <n v="4"/>
    <s v="Jan2025"/>
    <s v="Wednesday"/>
    <x v="9"/>
    <n v="21"/>
    <n v="10729226102"/>
    <x v="2"/>
    <s v="FBA"/>
    <s v="Inactive listing"/>
    <s v="No"/>
  </r>
  <r>
    <n v="4"/>
    <s v="Jan2025"/>
    <s v="Wednesday"/>
    <x v="9"/>
    <n v="22"/>
    <n v="10728777802"/>
    <x v="3"/>
    <s v="ILAC"/>
    <s v="Contacted carrier // Follow up required"/>
    <s v="No"/>
  </r>
  <r>
    <n v="4"/>
    <s v="Jan2025"/>
    <s v="Wednesday"/>
    <x v="9"/>
    <n v="23"/>
    <n v="10729497732"/>
    <x v="0"/>
    <s v="ILAC"/>
    <s v="HV"/>
    <s v="Yes"/>
  </r>
  <r>
    <n v="4"/>
    <s v="Jan2025"/>
    <s v="Wednesday"/>
    <x v="9"/>
    <n v="24"/>
    <n v="10726928902"/>
    <x v="3"/>
    <s v="ILAC"/>
    <s v="Contacted carrier // Follow up required"/>
    <s v="No"/>
  </r>
  <r>
    <n v="4"/>
    <s v="Jan2025"/>
    <s v="Wednesday"/>
    <x v="9"/>
    <n v="25"/>
    <n v="10730050322"/>
    <x v="3"/>
    <s v="FBA"/>
    <s v="TT cut for tool access"/>
    <s v="No"/>
  </r>
  <r>
    <n v="4"/>
    <s v="Jan2025"/>
    <s v="Thursday"/>
    <x v="10"/>
    <n v="1"/>
    <n v="10692904272"/>
    <x v="3"/>
    <s v="ILAC"/>
    <s v="Open TT"/>
    <s v="No"/>
  </r>
  <r>
    <n v="4"/>
    <s v="Jan2025"/>
    <s v="Thursday"/>
    <x v="10"/>
    <n v="2"/>
    <n v="10723574462"/>
    <x v="2"/>
    <s v="ILAC"/>
    <s v="Reimbursed"/>
    <s v="No"/>
  </r>
  <r>
    <n v="4"/>
    <s v="Jan2025"/>
    <s v="Thursday"/>
    <x v="10"/>
    <n v="3"/>
    <n v="10728941532"/>
    <x v="0"/>
    <s v="MAT"/>
    <s v="swa-shipper"/>
    <s v="Yes"/>
  </r>
  <r>
    <n v="4"/>
    <s v="Jan2025"/>
    <s v="Thursday"/>
    <x v="10"/>
    <n v="4"/>
    <n v="10724533972"/>
    <x v="2"/>
    <s v="FBA"/>
    <s v="Stranded inventory"/>
    <s v="No"/>
  </r>
  <r>
    <n v="4"/>
    <s v="Jan2025"/>
    <s v="Thursday"/>
    <x v="10"/>
    <n v="5"/>
    <n v="10707816552"/>
    <x v="0"/>
    <s v="ILAC"/>
    <s v="HV"/>
    <s v="Yes"/>
  </r>
  <r>
    <n v="4"/>
    <s v="Jan2025"/>
    <s v="Thursday"/>
    <x v="10"/>
    <n v="6"/>
    <n v="10731420412"/>
    <x v="3"/>
    <s v="FBA"/>
    <s v="Open TT"/>
    <s v="No"/>
  </r>
  <r>
    <n v="4"/>
    <s v="Jan2025"/>
    <s v="Thursday"/>
    <x v="10"/>
    <n v="7"/>
    <n v="10731990572"/>
    <x v="2"/>
    <s v="FBA"/>
    <s v="Lost inventory"/>
    <s v="Yes"/>
  </r>
  <r>
    <n v="4"/>
    <s v="Jan2025"/>
    <s v="Thursday"/>
    <x v="10"/>
    <n v="8"/>
    <n v="10731105212"/>
    <x v="2"/>
    <s v="FBA"/>
    <s v="Lost inventory"/>
    <s v="No"/>
  </r>
  <r>
    <n v="4"/>
    <s v="Jan2025"/>
    <s v="Thursday"/>
    <x v="10"/>
    <n v="9"/>
    <n v="10730890592"/>
    <x v="2"/>
    <s v="FBA"/>
    <s v="Lost inventory"/>
    <s v="No"/>
  </r>
  <r>
    <n v="4"/>
    <s v="Jan2025"/>
    <s v="Thursday"/>
    <x v="10"/>
    <n v="10"/>
    <n v="10731572392"/>
    <x v="2"/>
    <s v="MAT"/>
    <s v="Chat disconnected"/>
    <s v="No"/>
  </r>
  <r>
    <n v="4"/>
    <s v="Jan2025"/>
    <s v="Thursday"/>
    <x v="10"/>
    <n v="11"/>
    <n v="10731616202"/>
    <x v="2"/>
    <s v="MAT"/>
    <s v="Featured offer"/>
    <s v="No"/>
  </r>
  <r>
    <n v="4"/>
    <s v="Jan2025"/>
    <s v="Thursday"/>
    <x v="10"/>
    <n v="12"/>
    <n v="10726928902"/>
    <x v="2"/>
    <s v="FBA"/>
    <s v="POD"/>
    <s v="No"/>
  </r>
  <r>
    <n v="4"/>
    <s v="Jan2025"/>
    <s v="Thursday"/>
    <x v="10"/>
    <n v="13"/>
    <n v="10728777802"/>
    <x v="2"/>
    <s v="FBA"/>
    <s v="POD"/>
    <s v="No"/>
  </r>
  <r>
    <n v="4"/>
    <s v="Jan2025"/>
    <s v="Thursday"/>
    <x v="10"/>
    <n v="14"/>
    <n v="10721152382"/>
    <x v="2"/>
    <s v="ILAC"/>
    <s v="Reimbursed"/>
    <s v="No"/>
  </r>
  <r>
    <n v="4"/>
    <s v="Jan2025"/>
    <s v="Thursday"/>
    <x v="10"/>
    <n v="15"/>
    <n v="10543349372"/>
    <x v="3"/>
    <s v="FBA"/>
    <s v="Open TT"/>
    <s v="No"/>
  </r>
  <r>
    <n v="4"/>
    <s v="Jan2025"/>
    <s v="Thursday"/>
    <x v="10"/>
    <n v="16"/>
    <n v="10731618572"/>
    <x v="0"/>
    <s v="ILAC"/>
    <s v="HV"/>
    <s v="No"/>
  </r>
  <r>
    <n v="4"/>
    <s v="Jan2025"/>
    <s v="Thursday"/>
    <x v="10"/>
    <n v="17"/>
    <n v="10710385462"/>
    <x v="2"/>
    <s v="FBA"/>
    <s v="Distributor Damaged"/>
    <s v="No"/>
  </r>
  <r>
    <n v="4"/>
    <s v="Jan2025"/>
    <s v="Thursday"/>
    <x v="10"/>
    <n v="18"/>
    <n v="10732706252"/>
    <x v="2"/>
    <s v="MAT"/>
    <s v="Approval button"/>
    <s v="No"/>
  </r>
  <r>
    <n v="4"/>
    <s v="Jan2025"/>
    <s v="Thursday"/>
    <x v="10"/>
    <n v="19"/>
    <n v="10732441312"/>
    <x v="2"/>
    <s v="MAT"/>
    <s v="Pricing error"/>
    <s v="No"/>
  </r>
  <r>
    <n v="4"/>
    <s v="Jan2025"/>
    <s v="Thursday"/>
    <x v="10"/>
    <n v="20"/>
    <n v="10730105232"/>
    <x v="0"/>
    <s v="MAT"/>
    <s v="BR support"/>
    <s v="No"/>
  </r>
  <r>
    <n v="4"/>
    <s v="Jan2025"/>
    <s v="Thursday"/>
    <x v="10"/>
    <n v="21"/>
    <n v="10732715242"/>
    <x v="2"/>
    <s v="FBA"/>
    <s v="Order"/>
    <s v="No"/>
  </r>
  <r>
    <n v="4"/>
    <s v="Jan2025"/>
    <s v="Thursday"/>
    <x v="10"/>
    <n v="22"/>
    <n v="10724533972"/>
    <x v="2"/>
    <s v="FBA"/>
    <s v="Stranded inventory"/>
    <s v="No"/>
  </r>
  <r>
    <n v="4"/>
    <s v="Jan2025"/>
    <s v="Thursday"/>
    <x v="10"/>
    <n v="23"/>
    <n v="10731420412"/>
    <x v="2"/>
    <s v="FBA"/>
    <s v="Easyship "/>
    <s v="Yes"/>
  </r>
  <r>
    <n v="4"/>
    <s v="Jan2025"/>
    <s v="Thursday"/>
    <x v="10"/>
    <n v="24"/>
    <n v="10732921942"/>
    <x v="0"/>
    <s v="MAT"/>
    <s v="SA"/>
    <s v="No"/>
  </r>
  <r>
    <n v="4"/>
    <s v="Jan2025"/>
    <s v="Thursday"/>
    <x v="10"/>
    <n v="25"/>
    <n v="10733025542"/>
    <x v="2"/>
    <s v="MAT"/>
    <s v="Listing merge"/>
    <s v="No"/>
  </r>
  <r>
    <n v="4"/>
    <s v="Jan2025"/>
    <s v="Friday"/>
    <x v="11"/>
    <n v="1"/>
    <n v="10724800722"/>
    <x v="2"/>
    <s v="ILAC"/>
    <s v="Item Ineligible"/>
    <s v="No"/>
  </r>
  <r>
    <n v="4"/>
    <s v="Jan2025"/>
    <s v="Friday"/>
    <x v="11"/>
    <n v="2"/>
    <n v="10725698152"/>
    <x v="0"/>
    <s v="ILAC"/>
    <s v="CN"/>
    <s v="No"/>
  </r>
  <r>
    <n v="4"/>
    <s v="Jan2025"/>
    <s v="Friday"/>
    <x v="11"/>
    <n v="3"/>
    <n v="10734767862"/>
    <x v="2"/>
    <s v="MAT"/>
    <s v="Easyship "/>
    <s v="No"/>
  </r>
  <r>
    <n v="4"/>
    <s v="Jan2025"/>
    <s v="Friday"/>
    <x v="11"/>
    <n v="4"/>
    <n v="10724221972"/>
    <x v="1"/>
    <s v="ILAC"/>
    <s v="POD"/>
    <s v="No"/>
  </r>
  <r>
    <n v="4"/>
    <s v="Jan2025"/>
    <s v="Friday"/>
    <x v="11"/>
    <n v="5"/>
    <n v="10734354762"/>
    <x v="2"/>
    <s v="FBA"/>
    <s v="Distributor Damaged"/>
    <s v="No"/>
  </r>
  <r>
    <n v="4"/>
    <s v="Jan2025"/>
    <s v="Friday"/>
    <x v="11"/>
    <n v="6"/>
    <n v="10734509412"/>
    <x v="0"/>
    <s v="ILAC"/>
    <s v="HV"/>
    <s v="No"/>
  </r>
  <r>
    <n v="4"/>
    <s v="Jan2025"/>
    <s v="Friday"/>
    <x v="11"/>
    <n v="7"/>
    <n v="10727444522"/>
    <x v="3"/>
    <s v="FBA"/>
    <s v="Open TT"/>
    <s v="No"/>
  </r>
  <r>
    <n v="4"/>
    <s v="Jan2025"/>
    <s v="Friday"/>
    <x v="11"/>
    <n v="8"/>
    <n v="10735347652"/>
    <x v="2"/>
    <s v="MAT"/>
    <s v="SIV"/>
    <s v="No"/>
  </r>
  <r>
    <n v="4"/>
    <s v="Jan2025"/>
    <s v="Friday"/>
    <x v="11"/>
    <n v="9"/>
    <n v="10656405392"/>
    <x v="2"/>
    <s v="MAT"/>
    <s v="BP"/>
    <s v="No"/>
  </r>
  <r>
    <n v="4"/>
    <s v="Jan2025"/>
    <s v="Friday"/>
    <x v="11"/>
    <n v="10"/>
    <n v="10734149542"/>
    <x v="0"/>
    <s v="ILAC"/>
    <s v="FFT"/>
    <s v="No"/>
  </r>
  <r>
    <n v="4"/>
    <s v="Jan2025"/>
    <s v="Friday"/>
    <x v="11"/>
    <n v="11"/>
    <n v="10735461232"/>
    <x v="2"/>
    <s v="MAT"/>
    <s v="SIV"/>
    <s v="Yes"/>
  </r>
  <r>
    <n v="4"/>
    <s v="Jan2025"/>
    <s v="Friday"/>
    <x v="11"/>
    <n v="12"/>
    <n v="10735215202"/>
    <x v="2"/>
    <s v="MAT"/>
    <s v="OTP"/>
    <s v="Yes"/>
  </r>
  <r>
    <n v="4"/>
    <s v="Jan2025"/>
    <s v="Friday"/>
    <x v="11"/>
    <n v="13"/>
    <n v="10712023852"/>
    <x v="1"/>
    <s v="ILAC"/>
    <s v="Invoice"/>
    <s v="No"/>
  </r>
  <r>
    <n v="4"/>
    <s v="Jan2025"/>
    <s v="Friday"/>
    <x v="11"/>
    <n v="14"/>
    <n v="10735110602"/>
    <x v="2"/>
    <s v="FBA"/>
    <s v="Lost inventory"/>
    <s v="Yes"/>
  </r>
  <r>
    <n v="4"/>
    <s v="Jan2025"/>
    <s v="Friday"/>
    <x v="11"/>
    <n v="15"/>
    <n v="10735202482"/>
    <x v="3"/>
    <s v="FBA"/>
    <s v="Open TT"/>
    <s v="No"/>
  </r>
  <r>
    <n v="4"/>
    <s v="Jan2025"/>
    <s v="Friday"/>
    <x v="11"/>
    <n v="16"/>
    <n v="10728486162"/>
    <x v="2"/>
    <s v="MAT"/>
    <s v="BP"/>
    <s v="No"/>
  </r>
  <r>
    <n v="4"/>
    <s v="Jan2025"/>
    <s v="Friday"/>
    <x v="11"/>
    <n v="17"/>
    <n v="10712023852"/>
    <x v="1"/>
    <s v="ILAC"/>
    <s v="Invoice"/>
    <s v="No"/>
  </r>
  <r>
    <n v="4"/>
    <s v="Jan2025"/>
    <s v="Friday"/>
    <x v="11"/>
    <n v="18"/>
    <n v="10720763802"/>
    <x v="2"/>
    <s v="FBA"/>
    <s v="Stranded inventory"/>
    <s v="No"/>
  </r>
  <r>
    <n v="4"/>
    <s v="Jan2025"/>
    <s v="Friday"/>
    <x v="11"/>
    <n v="19"/>
    <n v="10735416072"/>
    <x v="0"/>
    <s v="ILAC"/>
    <s v="HV"/>
    <s v="No"/>
  </r>
  <r>
    <n v="4"/>
    <s v="Jan2025"/>
    <s v="Friday"/>
    <x v="11"/>
    <n v="20"/>
    <n v="10735364342"/>
    <x v="0"/>
    <s v="ILAC"/>
    <s v="HV"/>
    <s v="No"/>
  </r>
  <r>
    <n v="4"/>
    <s v="Jan2025"/>
    <s v="Friday"/>
    <x v="11"/>
    <n v="21"/>
    <n v="10735947312"/>
    <x v="1"/>
    <s v="MAT"/>
    <s v="E8572"/>
    <s v="No"/>
  </r>
  <r>
    <n v="4"/>
    <s v="Jan2025"/>
    <s v="Saturday"/>
    <x v="12"/>
    <n v="1"/>
    <n v="10729742812"/>
    <x v="2"/>
    <s v="ILAC"/>
    <s v="Reimbursed"/>
    <s v="Yes"/>
  </r>
  <r>
    <n v="4"/>
    <s v="Jan2025"/>
    <s v="Saturday"/>
    <x v="12"/>
    <n v="2"/>
    <n v="10736585722"/>
    <x v="2"/>
    <s v="FBA"/>
    <s v="Lost inventory"/>
    <s v="No"/>
  </r>
  <r>
    <n v="4"/>
    <s v="Jan2025"/>
    <s v="Saturday"/>
    <x v="12"/>
    <n v="3"/>
    <n v="10131856552"/>
    <x v="3"/>
    <s v="FBA"/>
    <s v="Open TT"/>
    <s v="Yes"/>
  </r>
  <r>
    <n v="4"/>
    <s v="Jan2025"/>
    <s v="Saturday"/>
    <x v="12"/>
    <n v="4"/>
    <n v="10737613462"/>
    <x v="2"/>
    <s v="FBA"/>
    <s v="Lost inventory"/>
    <s v="No"/>
  </r>
  <r>
    <n v="4"/>
    <s v="Jan2025"/>
    <s v="Saturday"/>
    <x v="12"/>
    <n v="5"/>
    <n v="10706743272"/>
    <x v="0"/>
    <s v="FBA"/>
    <s v="Feeds"/>
    <s v="No"/>
  </r>
  <r>
    <n v="4"/>
    <s v="Jan2025"/>
    <s v="Saturday"/>
    <x v="12"/>
    <n v="6"/>
    <n v="10737690732"/>
    <x v="2"/>
    <s v="FBA"/>
    <s v="Damaged inventory"/>
    <s v="No"/>
  </r>
  <r>
    <n v="4"/>
    <s v="Jan2025"/>
    <s v="Saturday"/>
    <x v="12"/>
    <n v="7"/>
    <n v="10731439992"/>
    <x v="0"/>
    <s v="ILAC"/>
    <s v="VAT"/>
    <s v="No"/>
  </r>
  <r>
    <n v="4"/>
    <s v="Jan2025"/>
    <s v="Saturday"/>
    <x v="12"/>
    <n v="8"/>
    <n v="10529503402"/>
    <x v="3"/>
    <s v="ILAC"/>
    <s v="Open TT"/>
    <s v="No"/>
  </r>
  <r>
    <n v="4"/>
    <s v="Jan2025"/>
    <s v="Saturday"/>
    <x v="12"/>
    <n v="9"/>
    <n v="10737841822"/>
    <x v="1"/>
    <s v="FBA"/>
    <s v="Req info"/>
    <s v="No"/>
  </r>
  <r>
    <n v="4"/>
    <s v="Jan2025"/>
    <s v="Saturday"/>
    <x v="12"/>
    <n v="10"/>
    <n v="10737890512"/>
    <x v="2"/>
    <s v="MAT"/>
    <s v="A+ content"/>
    <s v="No"/>
  </r>
  <r>
    <n v="4"/>
    <s v="Jan2025"/>
    <s v="Saturday"/>
    <x v="12"/>
    <n v="11"/>
    <n v="10737638822"/>
    <x v="2"/>
    <s v="ILAC"/>
    <s v="Item Ineligible"/>
    <s v="No"/>
  </r>
  <r>
    <n v="4"/>
    <s v="Jan2025"/>
    <s v="Saturday"/>
    <x v="12"/>
    <n v="12"/>
    <n v="10726363072"/>
    <x v="3"/>
    <s v="FBA"/>
    <s v="Open TT"/>
    <s v="Yes"/>
  </r>
  <r>
    <n v="4"/>
    <s v="Jan2025"/>
    <s v="Saturday"/>
    <x v="12"/>
    <n v="13"/>
    <n v="10737529992"/>
    <x v="3"/>
    <s v="FBA"/>
    <s v="Missed pickup"/>
    <s v="Yes"/>
  </r>
  <r>
    <n v="4"/>
    <s v="Jan2025"/>
    <s v="Saturday"/>
    <x v="12"/>
    <n v="14"/>
    <n v="10738130702"/>
    <x v="2"/>
    <s v="FBA"/>
    <s v="VTR"/>
    <s v="Yes"/>
  </r>
  <r>
    <n v="4"/>
    <s v="Jan2025"/>
    <s v="Saturday"/>
    <x v="12"/>
    <n v="15"/>
    <n v="10730214682"/>
    <x v="1"/>
    <s v="FBA"/>
    <s v="Removal Order"/>
    <s v="No"/>
  </r>
  <r>
    <n v="4"/>
    <s v="Jan2025"/>
    <s v="Saturday"/>
    <x v="12"/>
    <n v="16"/>
    <n v="10737551312"/>
    <x v="0"/>
    <s v="ILAC"/>
    <s v="HV"/>
    <s v="No"/>
  </r>
  <r>
    <n v="4"/>
    <s v="Jan2025"/>
    <s v="Saturday"/>
    <x v="12"/>
    <n v="17"/>
    <n v="10737540042"/>
    <x v="2"/>
    <s v="ILAC"/>
    <s v="Item Ineligible"/>
    <s v="Yes"/>
  </r>
  <r>
    <n v="4"/>
    <s v="Jan2025"/>
    <s v="Saturday"/>
    <x v="12"/>
    <n v="18"/>
    <n v="10738265022"/>
    <x v="2"/>
    <s v="FBA"/>
    <s v="Order"/>
    <s v="Yes"/>
  </r>
  <r>
    <n v="4"/>
    <s v="Jan2025"/>
    <s v="Saturday"/>
    <x v="12"/>
    <n v="19"/>
    <n v="10737723632"/>
    <x v="2"/>
    <s v="FBA"/>
    <s v="Order"/>
    <s v="No"/>
  </r>
  <r>
    <n v="4"/>
    <s v="Jan2025"/>
    <s v="Saturday"/>
    <x v="12"/>
    <n v="20"/>
    <n v="10735706092"/>
    <x v="2"/>
    <s v="FBA"/>
    <s v="Order"/>
    <s v="No"/>
  </r>
  <r>
    <n v="4"/>
    <s v="Jan2025"/>
    <s v="Saturday"/>
    <x v="12"/>
    <n v="21"/>
    <n v="10736474862"/>
    <x v="0"/>
    <s v="ILAC"/>
    <s v="NL"/>
    <s v="No"/>
  </r>
  <r>
    <n v="4"/>
    <s v="Jan2025"/>
    <s v="Saturday"/>
    <x v="12"/>
    <n v="22"/>
    <n v="10738406072"/>
    <x v="2"/>
    <s v="FBA"/>
    <s v="Receiving"/>
    <s v="No"/>
  </r>
  <r>
    <n v="4"/>
    <s v="Jan2025"/>
    <s v="Saturday"/>
    <x v="12"/>
    <n v="23"/>
    <n v="10736146252"/>
    <x v="2"/>
    <s v="MAT"/>
    <s v="Premium Shipping Option"/>
    <s v="Yes"/>
  </r>
  <r>
    <n v="4"/>
    <s v="Jan2025"/>
    <s v="Saturday"/>
    <x v="12"/>
    <n v="24"/>
    <n v="10726363072"/>
    <x v="2"/>
    <s v="FBA"/>
    <s v="Featured offer"/>
    <s v="Yes"/>
  </r>
  <r>
    <n v="5"/>
    <s v="Jan2025"/>
    <s v="Tuesday"/>
    <x v="13"/>
    <n v="1"/>
    <n v="10728563392"/>
    <x v="2"/>
    <s v="FBA"/>
    <s v="Non returnable ASIN"/>
    <s v="No"/>
  </r>
  <r>
    <n v="5"/>
    <s v="Jan2025"/>
    <s v="Tuesday"/>
    <x v="13"/>
    <n v="2"/>
    <n v="10726654172"/>
    <x v="2"/>
    <s v="FBA"/>
    <s v="Removal Order"/>
    <s v="No"/>
  </r>
  <r>
    <n v="5"/>
    <s v="Jan2025"/>
    <s v="Tuesday"/>
    <x v="13"/>
    <n v="3"/>
    <n v="10745970082"/>
    <x v="2"/>
    <s v="FBA"/>
    <s v="Damaged inventory"/>
    <s v="No"/>
  </r>
  <r>
    <n v="5"/>
    <s v="Jan2025"/>
    <s v="Tuesday"/>
    <x v="13"/>
    <n v="4"/>
    <n v="10736115522"/>
    <x v="2"/>
    <s v="FBA"/>
    <s v="Removal Order"/>
    <s v="No"/>
  </r>
  <r>
    <n v="5"/>
    <s v="Jan2025"/>
    <s v="Tuesday"/>
    <x v="13"/>
    <n v="5"/>
    <n v="10622355602"/>
    <x v="3"/>
    <s v="FBA"/>
    <s v="Open TT"/>
    <s v="No"/>
  </r>
  <r>
    <n v="5"/>
    <s v="Jan2025"/>
    <s v="Tuesday"/>
    <x v="13"/>
    <n v="6"/>
    <n v="10734037002"/>
    <x v="1"/>
    <s v="ILAC"/>
    <s v="Re-evaluation request"/>
    <s v="Yes"/>
  </r>
  <r>
    <n v="5"/>
    <s v="Jan2025"/>
    <s v="Tuesday"/>
    <x v="13"/>
    <n v="7"/>
    <n v="10747377162"/>
    <x v="2"/>
    <s v="MAT"/>
    <s v="Merged case"/>
    <s v="No"/>
  </r>
  <r>
    <n v="5"/>
    <s v="Jan2025"/>
    <s v="Tuesday"/>
    <x v="13"/>
    <n v="8"/>
    <n v="10746902852"/>
    <x v="1"/>
    <s v="ILAC"/>
    <s v="Req info"/>
    <s v="No"/>
  </r>
  <r>
    <n v="5"/>
    <s v="Jan2025"/>
    <s v="Tuesday"/>
    <x v="13"/>
    <n v="9"/>
    <n v="10747611872"/>
    <x v="0"/>
    <s v="FBA"/>
    <s v="EG"/>
    <s v="No"/>
  </r>
  <r>
    <n v="5"/>
    <s v="Jan2025"/>
    <s v="Tuesday"/>
    <x v="13"/>
    <n v="10"/>
    <n v="10748011282"/>
    <x v="2"/>
    <s v="FBA"/>
    <s v="FBA New selection program"/>
    <s v="No"/>
  </r>
  <r>
    <n v="5"/>
    <s v="Jan2025"/>
    <s v="Tuesday"/>
    <x v="13"/>
    <n v="11"/>
    <n v="10712109642"/>
    <x v="1"/>
    <s v="ILAC"/>
    <s v="Pick-up slip"/>
    <s v="No"/>
  </r>
  <r>
    <n v="5"/>
    <s v="Jan2025"/>
    <s v="Tuesday"/>
    <x v="13"/>
    <n v="12"/>
    <n v="10747745402"/>
    <x v="0"/>
    <s v="MAT"/>
    <s v="IIDP"/>
    <s v="No"/>
  </r>
  <r>
    <n v="5"/>
    <s v="Jan2025"/>
    <s v="Tuesday"/>
    <x v="13"/>
    <n v="13"/>
    <n v="10748453212"/>
    <x v="2"/>
    <s v="MAT"/>
    <s v="180 days"/>
    <s v="No"/>
  </r>
  <r>
    <n v="5"/>
    <s v="Jan2025"/>
    <s v="Tuesday"/>
    <x v="13"/>
    <n v="14"/>
    <n v="10736115522"/>
    <x v="3"/>
    <s v="FBA"/>
    <s v="Open TT"/>
    <s v="No"/>
  </r>
  <r>
    <n v="5"/>
    <s v="Jan2025"/>
    <s v="Tuesday"/>
    <x v="13"/>
    <n v="15"/>
    <n v="10748157562"/>
    <x v="3"/>
    <s v="FBA"/>
    <s v="Easyship "/>
    <s v="No"/>
  </r>
  <r>
    <n v="5"/>
    <s v="Jan2025"/>
    <s v="Tuesday"/>
    <x v="13"/>
    <n v="16"/>
    <n v="10747694552"/>
    <x v="1"/>
    <s v="ILAC"/>
    <s v="Req info"/>
    <s v="No"/>
  </r>
  <r>
    <n v="5"/>
    <s v="Jan2025"/>
    <s v="Tuesday"/>
    <x v="13"/>
    <n v="17"/>
    <n v="10746961512"/>
    <x v="2"/>
    <s v="FBA"/>
    <s v="Removal Order"/>
    <s v="Yes"/>
  </r>
  <r>
    <n v="5"/>
    <s v="Jan2025"/>
    <s v="Tuesday"/>
    <x v="13"/>
    <n v="18"/>
    <n v="10748111432"/>
    <x v="2"/>
    <s v="FBA"/>
    <s v="Order"/>
    <s v="Yes"/>
  </r>
  <r>
    <n v="5"/>
    <s v="Jan2025"/>
    <s v="Wednesday"/>
    <x v="14"/>
    <n v="1"/>
    <n v="10737228302"/>
    <x v="2"/>
    <s v="ILAC"/>
    <s v="Item Ineligible"/>
    <s v="Yes"/>
  </r>
  <r>
    <n v="5"/>
    <s v="Jan2025"/>
    <s v="Wednesday"/>
    <x v="14"/>
    <n v="2"/>
    <n v="10752812142"/>
    <x v="2"/>
    <s v="FBA"/>
    <s v="Packaging Requirements"/>
    <s v="Yes"/>
  </r>
  <r>
    <n v="5"/>
    <s v="Jan2025"/>
    <s v="Wednesday"/>
    <x v="14"/>
    <n v="3"/>
    <n v="10747753622"/>
    <x v="1"/>
    <s v="MAT"/>
    <s v="BP"/>
    <s v="No"/>
  </r>
  <r>
    <n v="5"/>
    <s v="Jan2025"/>
    <s v="Wednesday"/>
    <x v="14"/>
    <n v="4"/>
    <n v="10711539092"/>
    <x v="2"/>
    <s v="FBA"/>
    <s v="WD"/>
    <s v="No"/>
  </r>
  <r>
    <n v="5"/>
    <s v="Jan2025"/>
    <s v="Wednesday"/>
    <x v="14"/>
    <n v="5"/>
    <n v="10741952512"/>
    <x v="2"/>
    <s v="ILAC"/>
    <s v="Reimbursed"/>
    <s v="No"/>
  </r>
  <r>
    <n v="5"/>
    <s v="Jan2025"/>
    <s v="Wednesday"/>
    <x v="14"/>
    <n v="6"/>
    <n v="10752640352"/>
    <x v="2"/>
    <s v="MAT"/>
    <s v="Order payment"/>
    <s v="Yes"/>
  </r>
  <r>
    <n v="5"/>
    <s v="Jan2025"/>
    <s v="Wednesday"/>
    <x v="14"/>
    <n v="7"/>
    <n v="10729892742"/>
    <x v="3"/>
    <s v="FBA"/>
    <s v="Open TT"/>
    <s v="Yes"/>
  </r>
  <r>
    <n v="5"/>
    <s v="Jan2025"/>
    <s v="Wednesday"/>
    <x v="14"/>
    <n v="8"/>
    <n v="10748157562"/>
    <x v="3"/>
    <s v="FBA"/>
    <s v="Open TT"/>
    <s v="No"/>
  </r>
  <r>
    <n v="5"/>
    <s v="Jan2025"/>
    <s v="Wednesday"/>
    <x v="14"/>
    <n v="9"/>
    <n v="10732616332"/>
    <x v="0"/>
    <s v="ILAC"/>
    <s v="FBA"/>
    <s v="No"/>
  </r>
  <r>
    <n v="5"/>
    <s v="Jan2025"/>
    <s v="Wednesday"/>
    <x v="14"/>
    <n v="10"/>
    <n v="10712109642"/>
    <x v="1"/>
    <s v="ILAC"/>
    <s v="Req info"/>
    <s v="Yes"/>
  </r>
  <r>
    <n v="5"/>
    <s v="Jan2025"/>
    <s v="Wednesday"/>
    <x v="14"/>
    <n v="11"/>
    <n v="10752783872"/>
    <x v="2"/>
    <s v="MAT"/>
    <s v="Account status"/>
    <s v="No"/>
  </r>
  <r>
    <n v="5"/>
    <s v="Jan2025"/>
    <s v="Wednesday"/>
    <x v="14"/>
    <n v="12"/>
    <n v="10746740932"/>
    <x v="0"/>
    <s v="MAT"/>
    <s v="DE"/>
    <s v="No"/>
  </r>
  <r>
    <n v="5"/>
    <s v="Jan2025"/>
    <s v="Wednesday"/>
    <x v="14"/>
    <n v="13"/>
    <n v="10753718652"/>
    <x v="3"/>
    <s v="MAT"/>
    <s v="Account status"/>
    <s v="No"/>
  </r>
  <r>
    <n v="5"/>
    <s v="Jan2025"/>
    <s v="Wednesday"/>
    <x v="14"/>
    <n v="14"/>
    <n v="10748756362"/>
    <x v="0"/>
    <s v="FBA"/>
    <s v="*FFTD"/>
    <s v="No"/>
  </r>
  <r>
    <n v="5"/>
    <s v="Jan2025"/>
    <s v="Wednesday"/>
    <x v="14"/>
    <n v="15"/>
    <n v="10745284682"/>
    <x v="1"/>
    <s v="ILAC"/>
    <s v="Invoice"/>
    <s v="No"/>
  </r>
  <r>
    <n v="5"/>
    <s v="Jan2025"/>
    <s v="Wednesday"/>
    <x v="14"/>
    <n v="16"/>
    <n v="10753908802"/>
    <x v="2"/>
    <s v="FBA"/>
    <s v="*Order"/>
    <s v="No"/>
  </r>
  <r>
    <n v="5"/>
    <s v="Jan2025"/>
    <s v="Wednesday"/>
    <x v="14"/>
    <n v="17"/>
    <n v="10738208482"/>
    <x v="0"/>
    <s v="ILAC"/>
    <s v="DE"/>
    <s v="No"/>
  </r>
  <r>
    <n v="5"/>
    <s v="Jan2025"/>
    <s v="Thursday"/>
    <x v="15"/>
    <n v="1"/>
    <n v="10454480612"/>
    <x v="3"/>
    <s v="MAT"/>
    <s v="Open TT"/>
    <s v="No"/>
  </r>
  <r>
    <n v="5"/>
    <s v="Jan2025"/>
    <s v="Thursday"/>
    <x v="15"/>
    <n v="2"/>
    <n v="10754449692"/>
    <x v="2"/>
    <s v="MAT"/>
    <s v="Payments"/>
    <s v="No"/>
  </r>
  <r>
    <n v="5"/>
    <s v="Jan2025"/>
    <s v="Thursday"/>
    <x v="15"/>
    <n v="3"/>
    <n v="10754931882"/>
    <x v="2"/>
    <s v="MAT"/>
    <s v="Foreign Currency Disbursement"/>
    <s v="No"/>
  </r>
  <r>
    <n v="5"/>
    <s v="Jan2025"/>
    <s v="Thursday"/>
    <x v="15"/>
    <n v="4"/>
    <n v="10755408302"/>
    <x v="2"/>
    <s v="FBA"/>
    <s v="Unfulfillable inventory"/>
    <s v="No"/>
  </r>
  <r>
    <n v="5"/>
    <s v="Jan2025"/>
    <s v="Thursday"/>
    <x v="15"/>
    <n v="5"/>
    <n v="10755078142"/>
    <x v="3"/>
    <s v="FBA"/>
    <s v="Missed pickup"/>
    <s v="No"/>
  </r>
  <r>
    <n v="5"/>
    <s v="Jan2025"/>
    <s v="Thursday"/>
    <x v="15"/>
    <n v="6"/>
    <n v="10755642762"/>
    <x v="0"/>
    <s v="MAT"/>
    <s v="KYC"/>
    <s v="No"/>
  </r>
  <r>
    <n v="5"/>
    <s v="Jan2025"/>
    <s v="Thursday"/>
    <x v="15"/>
    <n v="7"/>
    <n v="10753725242"/>
    <x v="1"/>
    <s v="FBA"/>
    <s v="Lost inventory"/>
    <s v="No"/>
  </r>
  <r>
    <n v="5"/>
    <s v="Jan2025"/>
    <s v="Thursday"/>
    <x v="15"/>
    <n v="8"/>
    <n v="10735058492"/>
    <x v="1"/>
    <s v="ILAC"/>
    <s v="POD"/>
    <s v="No"/>
  </r>
  <r>
    <n v="5"/>
    <s v="Jan2025"/>
    <s v="Thursday"/>
    <x v="15"/>
    <n v="9"/>
    <n v="10755725332"/>
    <x v="2"/>
    <s v="MAT"/>
    <s v="E5461"/>
    <s v="Yes"/>
  </r>
  <r>
    <n v="5"/>
    <s v="Jan2025"/>
    <s v="Thursday"/>
    <x v="15"/>
    <n v="10"/>
    <n v="10755568982"/>
    <x v="3"/>
    <s v="FBA"/>
    <s v="Removal Order"/>
    <s v="No"/>
  </r>
  <r>
    <n v="5"/>
    <s v="Jan2025"/>
    <s v="Thursday"/>
    <x v="15"/>
    <n v="11"/>
    <n v="10755855382"/>
    <x v="2"/>
    <s v="ILAC"/>
    <s v="Item Ineligible"/>
    <s v="No"/>
  </r>
  <r>
    <n v="5"/>
    <s v="Jan2025"/>
    <s v="Thursday"/>
    <x v="15"/>
    <n v="12"/>
    <n v="10755568982"/>
    <x v="2"/>
    <s v="FBA"/>
    <s v="Informed as per TT"/>
    <s v="No"/>
  </r>
  <r>
    <n v="5"/>
    <s v="Jan2025"/>
    <s v="Friday"/>
    <x v="16"/>
    <n v="1"/>
    <n v="10757697242"/>
    <x v="2"/>
    <s v="MAT"/>
    <s v="Account closure"/>
    <s v="No"/>
  </r>
  <r>
    <n v="5"/>
    <s v="Jan2025"/>
    <s v="Friday"/>
    <x v="16"/>
    <n v="2"/>
    <n v="10753644942"/>
    <x v="2"/>
    <s v="FBA"/>
    <s v="Subscribe and Save"/>
    <s v="No"/>
  </r>
  <r>
    <n v="5"/>
    <s v="Jan2025"/>
    <s v="Friday"/>
    <x v="16"/>
    <n v="3"/>
    <n v="10705768972"/>
    <x v="3"/>
    <s v="MAT"/>
    <s v="Open TT"/>
    <s v="Yes"/>
  </r>
  <r>
    <n v="5"/>
    <s v="Jan2025"/>
    <s v="Friday"/>
    <x v="16"/>
    <n v="4"/>
    <n v="10757452512"/>
    <x v="0"/>
    <s v="MAT"/>
    <s v="*Account Manager"/>
    <s v="No"/>
  </r>
  <r>
    <n v="5"/>
    <s v="Jan2025"/>
    <s v="Friday"/>
    <x v="16"/>
    <n v="5"/>
    <n v="10749486222"/>
    <x v="2"/>
    <s v="ILAC"/>
    <s v="Reimbursed"/>
    <s v="No"/>
  </r>
  <r>
    <n v="5"/>
    <s v="Jan2025"/>
    <s v="Friday"/>
    <x v="16"/>
    <n v="6"/>
    <n v="10758059972"/>
    <x v="2"/>
    <s v="MAT"/>
    <s v="Chat disconnected"/>
    <s v="No"/>
  </r>
  <r>
    <n v="5"/>
    <s v="Jan2025"/>
    <s v="Friday"/>
    <x v="16"/>
    <n v="7"/>
    <n v="10756176632"/>
    <x v="0"/>
    <s v="MAT"/>
    <s v="SIV"/>
    <s v="Yes"/>
  </r>
  <r>
    <n v="5"/>
    <s v="Jan2025"/>
    <s v="Friday"/>
    <x v="16"/>
    <n v="8"/>
    <n v="10754697852"/>
    <x v="0"/>
    <s v="MAT"/>
    <s v="BR support"/>
    <s v="No"/>
  </r>
  <r>
    <n v="5"/>
    <s v="Jan2025"/>
    <s v="Friday"/>
    <x v="16"/>
    <n v="9"/>
    <n v="10664810712"/>
    <x v="3"/>
    <s v="FBA"/>
    <s v="Open TT"/>
    <s v="No"/>
  </r>
  <r>
    <n v="5"/>
    <s v="Jan2025"/>
    <s v="Friday"/>
    <x v="16"/>
    <n v="10"/>
    <n v="10758813672"/>
    <x v="2"/>
    <s v="FBA"/>
    <s v="Damaged inventory"/>
    <s v="No"/>
  </r>
  <r>
    <n v="5"/>
    <s v="Jan2025"/>
    <s v="Friday"/>
    <x v="16"/>
    <n v="11"/>
    <n v="10746390212"/>
    <x v="2"/>
    <s v="FBA"/>
    <s v="Removal Order"/>
    <s v="No"/>
  </r>
  <r>
    <n v="5"/>
    <s v="Jan2025"/>
    <s v="Friday"/>
    <x v="16"/>
    <n v="12"/>
    <n v="10631546752"/>
    <x v="0"/>
    <s v="FBA"/>
    <s v="IIDP"/>
    <s v="No"/>
  </r>
  <r>
    <n v="5"/>
    <s v="Jan2025"/>
    <s v="Friday"/>
    <x v="16"/>
    <n v="13"/>
    <n v="10758102442"/>
    <x v="0"/>
    <s v="ILAC"/>
    <s v="HV"/>
    <s v="No"/>
  </r>
  <r>
    <n v="5"/>
    <s v="Jan2025"/>
    <s v="Friday"/>
    <x v="16"/>
    <n v="14"/>
    <n v="10758960772"/>
    <x v="0"/>
    <s v="MAT"/>
    <s v="Inactive listing"/>
    <s v="No"/>
  </r>
  <r>
    <n v="5"/>
    <s v="Jan2025"/>
    <s v="Friday"/>
    <x v="16"/>
    <n v="15"/>
    <n v="10758171672"/>
    <x v="1"/>
    <s v="ILAC"/>
    <s v="Req info"/>
    <s v="No"/>
  </r>
  <r>
    <n v="5"/>
    <s v="Jan2025"/>
    <s v="Friday"/>
    <x v="16"/>
    <n v="16"/>
    <n v="10758732312"/>
    <x v="2"/>
    <s v="FBA"/>
    <s v="Removal Order"/>
    <s v="No"/>
  </r>
  <r>
    <n v="5"/>
    <s v="Jan2025"/>
    <s v="Friday"/>
    <x v="16"/>
    <n v="17"/>
    <n v="10757814132"/>
    <x v="0"/>
    <s v="MAT"/>
    <s v="BR support"/>
    <s v="No"/>
  </r>
  <r>
    <n v="5"/>
    <s v="Jan2025"/>
    <s v="Friday"/>
    <x v="16"/>
    <n v="18"/>
    <n v="10758944782"/>
    <x v="2"/>
    <s v="MAT"/>
    <s v="Individual account"/>
    <s v="No"/>
  </r>
  <r>
    <n v="5"/>
    <s v="Jan2025"/>
    <s v="Friday"/>
    <x v="16"/>
    <n v="19"/>
    <n v="10753183902"/>
    <x v="2"/>
    <s v="FBA"/>
    <s v="Sales rank"/>
    <s v="Yes"/>
  </r>
  <r>
    <n v="5"/>
    <s v="Jan2025"/>
    <s v="Friday"/>
    <x v="16"/>
    <n v="20"/>
    <n v="10757309982"/>
    <x v="0"/>
    <s v="MAT"/>
    <s v="Disbursement"/>
    <s v="No"/>
  </r>
  <r>
    <n v="5"/>
    <s v="Jan2025"/>
    <s v="Friday"/>
    <x v="16"/>
    <n v="21"/>
    <n v="10738909832"/>
    <x v="1"/>
    <s v="FBA"/>
    <s v="MCF order"/>
    <s v="No"/>
  </r>
  <r>
    <n v="5"/>
    <s v="Jan2025"/>
    <s v="Friday"/>
    <x v="16"/>
    <n v="22"/>
    <n v="10758087052"/>
    <x v="0"/>
    <s v="FBA"/>
    <s v="ILAC"/>
    <s v="No"/>
  </r>
  <r>
    <n v="5"/>
    <s v="Jan2025"/>
    <s v="Friday"/>
    <x v="16"/>
    <n v="23"/>
    <n v="10759122452"/>
    <x v="2"/>
    <s v="FBA"/>
    <s v="Account closure"/>
    <s v="Yes"/>
  </r>
  <r>
    <n v="5"/>
    <s v="Jan2025"/>
    <s v="Friday"/>
    <x v="16"/>
    <n v="24"/>
    <n v="10758905732"/>
    <x v="2"/>
    <s v="FBA"/>
    <s v="Customer return"/>
    <s v="Yes"/>
  </r>
  <r>
    <n v="5"/>
    <s v="Feb2025"/>
    <s v="Saturday"/>
    <x v="17"/>
    <n v="1"/>
    <n v="10721977672"/>
    <x v="3"/>
    <s v="FBA"/>
    <s v="Contacted carrier"/>
    <s v="No"/>
  </r>
  <r>
    <n v="1"/>
    <s v="Jan2025"/>
    <s v="Thursday"/>
    <x v="18"/>
    <n v="2"/>
    <n v="10754749362"/>
    <x v="2"/>
    <s v="ILAC"/>
    <s v="Reimbursed"/>
    <s v="No"/>
  </r>
  <r>
    <n v="1"/>
    <s v="Jan2025"/>
    <s v="Thursday"/>
    <x v="18"/>
    <n v="3"/>
    <n v="10753352202"/>
    <x v="1"/>
    <s v="ILAC"/>
    <s v="Invoice"/>
    <s v="No"/>
  </r>
  <r>
    <n v="1"/>
    <s v="Jan2025"/>
    <s v="Thursday"/>
    <x v="18"/>
    <n v="4"/>
    <n v="10762989732"/>
    <x v="2"/>
    <s v="FBA"/>
    <s v="Removal Order"/>
    <s v="No"/>
  </r>
  <r>
    <n v="1"/>
    <s v="Jan2025"/>
    <s v="Thursday"/>
    <x v="18"/>
    <n v="5"/>
    <n v="10762436052"/>
    <x v="3"/>
    <s v="FBA"/>
    <s v="Open TT"/>
    <s v="No"/>
  </r>
  <r>
    <n v="1"/>
    <s v="Jan2025"/>
    <s v="Thursday"/>
    <x v="18"/>
    <n v="6"/>
    <n v="10752510272"/>
    <x v="1"/>
    <s v="ILAC"/>
    <s v="POD"/>
    <s v="Yes"/>
  </r>
  <r>
    <n v="1"/>
    <s v="Jan2025"/>
    <s v="Thursday"/>
    <x v="18"/>
    <n v="7"/>
    <n v="10753924842"/>
    <x v="3"/>
    <s v="ILAC"/>
    <s v="Open TT"/>
    <s v="No"/>
  </r>
  <r>
    <n v="1"/>
    <s v="Jan2025"/>
    <s v="Thursday"/>
    <x v="18"/>
    <n v="8"/>
    <n v="10762986942"/>
    <x v="2"/>
    <s v="FBA"/>
    <s v="Lost inventory"/>
    <s v="Yes"/>
  </r>
  <r>
    <n v="1"/>
    <s v="Jan2025"/>
    <s v="Thursday"/>
    <x v="18"/>
    <n v="9"/>
    <n v="10762895952"/>
    <x v="1"/>
    <s v="FBA"/>
    <s v="Query unclear"/>
    <s v="No"/>
  </r>
  <r>
    <n v="1"/>
    <s v="Jan2025"/>
    <s v="Thursday"/>
    <x v="18"/>
    <n v="10"/>
    <n v="10762897482"/>
    <x v="0"/>
    <s v="MAT"/>
    <s v="*IIDP"/>
    <s v="Yes"/>
  </r>
  <r>
    <n v="1"/>
    <s v="Jan2025"/>
    <s v="Thursday"/>
    <x v="18"/>
    <n v="11"/>
    <n v="10763955682"/>
    <x v="2"/>
    <s v="FBA"/>
    <s v="Easyship "/>
    <s v="No"/>
  </r>
  <r>
    <n v="1"/>
    <s v="Jan2025"/>
    <s v="Thursday"/>
    <x v="18"/>
    <n v="12"/>
    <n v="10763294912"/>
    <x v="4"/>
    <s v="FBA"/>
    <s v="Seller opened a new chat"/>
    <s v="No"/>
  </r>
  <r>
    <n v="1"/>
    <s v="Jan2025"/>
    <s v="Thursday"/>
    <x v="18"/>
    <n v="13"/>
    <n v="10763055022"/>
    <x v="0"/>
    <s v="MAT"/>
    <s v="ILAC"/>
    <s v="No"/>
  </r>
  <r>
    <n v="1"/>
    <s v="Jan2025"/>
    <s v="Thursday"/>
    <x v="18"/>
    <n v="14"/>
    <n v="10762951192"/>
    <x v="2"/>
    <s v="MAT"/>
    <s v="Report a violation"/>
    <s v="Yes"/>
  </r>
  <r>
    <n v="1"/>
    <s v="Jan2025"/>
    <s v="Thursday"/>
    <x v="18"/>
    <n v="15"/>
    <n v="10753186312"/>
    <x v="3"/>
    <s v="MAT"/>
    <s v="Open TT"/>
    <s v="No"/>
  </r>
  <r>
    <n v="1"/>
    <s v="Jan2025"/>
    <s v="Thursday"/>
    <x v="18"/>
    <n v="16"/>
    <n v="10753687672"/>
    <x v="3"/>
    <s v="ILAC"/>
    <s v="Open TT"/>
    <s v="No"/>
  </r>
  <r>
    <n v="1"/>
    <s v="Jan2025"/>
    <s v="Thursday"/>
    <x v="18"/>
    <n v="17"/>
    <n v="10762546732"/>
    <x v="2"/>
    <s v="MAT"/>
    <s v="Update business address"/>
    <s v="No"/>
  </r>
  <r>
    <n v="1"/>
    <s v="Jan2025"/>
    <s v="Thursday"/>
    <x v="18"/>
    <n v="18"/>
    <n v="10762448512"/>
    <x v="0"/>
    <s v="MAT"/>
    <s v="EG"/>
    <s v="No"/>
  </r>
  <r>
    <n v="1"/>
    <s v="Jan2025"/>
    <s v="Thursday"/>
    <x v="18"/>
    <n v="19"/>
    <n v="10655135682"/>
    <x v="3"/>
    <s v="FBA"/>
    <s v="Open TT"/>
    <s v="No"/>
  </r>
  <r>
    <n v="1"/>
    <s v="Jan2025"/>
    <s v="Thursday"/>
    <x v="18"/>
    <n v="20"/>
    <n v="10762904082"/>
    <x v="0"/>
    <s v="MAT"/>
    <s v="Feeds"/>
    <s v="No"/>
  </r>
  <r>
    <n v="1"/>
    <s v="Jan2025"/>
    <s v="Thursday"/>
    <x v="18"/>
    <n v="21"/>
    <n v="10763961102"/>
    <x v="1"/>
    <s v="MAT"/>
    <s v="Chat disconnected"/>
    <s v="No"/>
  </r>
  <r>
    <n v="1"/>
    <s v="Jan2025"/>
    <s v="Thursday"/>
    <x v="18"/>
    <n v="22"/>
    <n v="10763221282"/>
    <x v="3"/>
    <s v="FBA"/>
    <s v="Follow up required"/>
    <s v="No"/>
  </r>
  <r>
    <n v="1"/>
    <s v="Jan2025"/>
    <s v="Thursday"/>
    <x v="18"/>
    <n v="23"/>
    <n v="10752952612"/>
    <x v="3"/>
    <s v="ILAC"/>
    <s v="Open TT"/>
    <s v="No"/>
  </r>
  <r>
    <n v="1"/>
    <s v="Jan2025"/>
    <s v="Thursday"/>
    <x v="18"/>
    <n v="24"/>
    <n v="10764054762"/>
    <x v="2"/>
    <s v="ILAC"/>
    <s v="Contents tab"/>
    <s v="No"/>
  </r>
  <r>
    <n v="1"/>
    <s v="Jan2025"/>
    <s v="Thursday"/>
    <x v="18"/>
    <n v="25"/>
    <n v="10763221282"/>
    <x v="2"/>
    <s v="FBA"/>
    <s v="Removal Order"/>
    <s v="Yes"/>
  </r>
  <r>
    <n v="6"/>
    <s v="Feb2025"/>
    <s v="Tuesday"/>
    <x v="19"/>
    <n v="1"/>
    <n v="10769593002"/>
    <x v="3"/>
    <s v="FBA"/>
    <s v="Subscribe and Save"/>
    <s v="No"/>
  </r>
  <r>
    <n v="14"/>
    <s v="Apr2025"/>
    <s v="Wednesday"/>
    <x v="20"/>
    <n v="2"/>
    <n v="10770686272"/>
    <x v="0"/>
    <s v="ILAC"/>
    <s v="HV"/>
    <s v="No"/>
  </r>
  <r>
    <n v="14"/>
    <s v="Apr2025"/>
    <s v="Wednesday"/>
    <x v="20"/>
    <n v="3"/>
    <n v="10769491162"/>
    <x v="2"/>
    <s v="FBA"/>
    <s v="Damaged inventory"/>
    <s v="No"/>
  </r>
  <r>
    <n v="14"/>
    <s v="Apr2025"/>
    <s v="Wednesday"/>
    <x v="20"/>
    <n v="4"/>
    <n v="10732804732"/>
    <x v="3"/>
    <s v="FBA"/>
    <s v="Open TT"/>
    <s v="Yes"/>
  </r>
  <r>
    <n v="14"/>
    <s v="Apr2025"/>
    <s v="Wednesday"/>
    <x v="20"/>
    <n v="5"/>
    <n v="10736897972"/>
    <x v="2"/>
    <s v="ILAC"/>
    <s v="Reimbursed"/>
    <s v="Yes"/>
  </r>
  <r>
    <n v="14"/>
    <s v="Apr2025"/>
    <s v="Wednesday"/>
    <x v="20"/>
    <n v="6"/>
    <n v="10770766752"/>
    <x v="2"/>
    <s v="MAT"/>
    <s v="Virtual Bundle"/>
    <s v="No"/>
  </r>
  <r>
    <n v="14"/>
    <s v="Apr2025"/>
    <s v="Wednesday"/>
    <x v="20"/>
    <n v="7"/>
    <n v="10770219172"/>
    <x v="0"/>
    <s v="ILAC"/>
    <s v="HV"/>
    <s v="Yes"/>
  </r>
  <r>
    <n v="14"/>
    <s v="Apr2025"/>
    <s v="Wednesday"/>
    <x v="20"/>
    <n v="8"/>
    <n v="10770824282"/>
    <x v="2"/>
    <s v="FBA"/>
    <s v="Removal Order"/>
    <s v="No"/>
  </r>
  <r>
    <n v="14"/>
    <s v="Apr2025"/>
    <s v="Wednesday"/>
    <x v="20"/>
    <n v="9"/>
    <n v="10769593002"/>
    <x v="3"/>
    <s v="FBA"/>
    <s v="Subscribe and Save"/>
    <s v="No"/>
  </r>
  <r>
    <n v="14"/>
    <s v="Apr2025"/>
    <s v="Wednesday"/>
    <x v="20"/>
    <n v="10"/>
    <n v="10131856552"/>
    <x v="3"/>
    <s v="FBA"/>
    <s v="Open TT"/>
    <s v="No"/>
  </r>
  <r>
    <n v="14"/>
    <s v="Apr2025"/>
    <s v="Wednesday"/>
    <x v="20"/>
    <n v="11"/>
    <n v="10770533052"/>
    <x v="2"/>
    <s v="FBA"/>
    <s v="Chat disconnected"/>
    <s v="No"/>
  </r>
  <r>
    <n v="14"/>
    <s v="Apr2025"/>
    <s v="Wednesday"/>
    <x v="20"/>
    <n v="12"/>
    <n v="10770475092"/>
    <x v="0"/>
    <s v="MAT"/>
    <s v="Feeds"/>
    <s v="No"/>
  </r>
  <r>
    <n v="14"/>
    <s v="Apr2025"/>
    <s v="Wednesday"/>
    <x v="20"/>
    <n v="13"/>
    <n v="10770630582"/>
    <x v="2"/>
    <s v="MAT"/>
    <s v="Inactive listing"/>
    <s v="No"/>
  </r>
  <r>
    <n v="14"/>
    <s v="Apr2025"/>
    <s v="Wednesday"/>
    <x v="20"/>
    <n v="14"/>
    <n v="10770991732"/>
    <x v="2"/>
    <s v="ILAC"/>
    <s v="Shipment over 6 months"/>
    <s v="No"/>
  </r>
  <r>
    <n v="14"/>
    <s v="Apr2025"/>
    <s v="Wednesday"/>
    <x v="20"/>
    <n v="15"/>
    <n v="10771056142"/>
    <x v="2"/>
    <s v="ILAC"/>
    <s v="Receiving"/>
    <s v="Yes"/>
  </r>
  <r>
    <n v="14"/>
    <s v="Apr2025"/>
    <s v="Wednesday"/>
    <x v="20"/>
    <n v="16"/>
    <n v="10770823102"/>
    <x v="0"/>
    <s v="ILAC"/>
    <s v="HV"/>
    <s v="Yes"/>
  </r>
  <r>
    <n v="14"/>
    <s v="Apr2025"/>
    <s v="Wednesday"/>
    <x v="20"/>
    <n v="17"/>
    <n v="10755686462"/>
    <x v="2"/>
    <s v="FBA"/>
    <s v="Feedback Manager"/>
    <s v="No"/>
  </r>
  <r>
    <n v="14"/>
    <s v="Apr2025"/>
    <s v="Wednesday"/>
    <x v="20"/>
    <n v="18"/>
    <n v="10733659912"/>
    <x v="1"/>
    <s v="ILAC"/>
    <s v="BOL"/>
    <s v="Yes"/>
  </r>
  <r>
    <n v="14"/>
    <s v="Apr2025"/>
    <s v="Wednesday"/>
    <x v="20"/>
    <n v="19"/>
    <n v="10770840192"/>
    <x v="1"/>
    <s v="FBA"/>
    <s v="Reserved inventory"/>
    <s v="No"/>
  </r>
  <r>
    <n v="6"/>
    <s v="Feb2025"/>
    <s v="Wednesday"/>
    <x v="21"/>
    <n v="1"/>
    <n v="10773544392"/>
    <x v="2"/>
    <s v="FBA"/>
    <s v="Removal Order"/>
    <s v="No"/>
  </r>
  <r>
    <n v="18"/>
    <s v="May2025"/>
    <s v="Friday"/>
    <x v="22"/>
    <n v="2"/>
    <n v="10769720932"/>
    <x v="2"/>
    <s v="ILAC"/>
    <s v="Reconciled"/>
    <s v="Yes"/>
  </r>
  <r>
    <n v="18"/>
    <s v="May2025"/>
    <s v="Friday"/>
    <x v="22"/>
    <n v="3"/>
    <n v="10774238352"/>
    <x v="3"/>
    <s v="FBA"/>
    <s v="WD"/>
    <s v="No"/>
  </r>
  <r>
    <n v="18"/>
    <s v="May2025"/>
    <s v="Friday"/>
    <x v="22"/>
    <n v="4"/>
    <n v="10747694552"/>
    <x v="1"/>
    <s v="ILAC"/>
    <s v="Invoice"/>
    <s v="No"/>
  </r>
  <r>
    <n v="18"/>
    <s v="May2025"/>
    <s v="Friday"/>
    <x v="22"/>
    <n v="5"/>
    <n v="10747699962"/>
    <x v="1"/>
    <s v="ILAC"/>
    <s v="Invoice"/>
    <s v="No"/>
  </r>
  <r>
    <n v="18"/>
    <s v="May2025"/>
    <s v="Friday"/>
    <x v="22"/>
    <n v="6"/>
    <n v="10774469552"/>
    <x v="2"/>
    <s v="MAT"/>
    <s v="Asked SP to contact advertiser support"/>
    <s v="No"/>
  </r>
  <r>
    <n v="18"/>
    <s v="May2025"/>
    <s v="Friday"/>
    <x v="22"/>
    <n v="7"/>
    <n v="10774397982"/>
    <x v="2"/>
    <s v="FBA"/>
    <s v="Send inventory from Egypt to UAE"/>
    <s v="No"/>
  </r>
  <r>
    <n v="18"/>
    <s v="May2025"/>
    <s v="Friday"/>
    <x v="22"/>
    <n v="8"/>
    <n v="10755453082"/>
    <x v="1"/>
    <s v="MAT"/>
    <s v="E8566"/>
    <s v="No"/>
  </r>
  <r>
    <n v="18"/>
    <s v="May2025"/>
    <s v="Friday"/>
    <x v="22"/>
    <n v="9"/>
    <n v="10775141852"/>
    <x v="2"/>
    <s v="FBA"/>
    <s v="Orders"/>
    <s v="No"/>
  </r>
  <r>
    <n v="18"/>
    <s v="May2025"/>
    <s v="Friday"/>
    <x v="22"/>
    <n v="10"/>
    <n v="10769597612"/>
    <x v="1"/>
    <s v="MAT"/>
    <s v="LOA"/>
    <s v="No"/>
  </r>
  <r>
    <n v="18"/>
    <s v="May2025"/>
    <s v="Friday"/>
    <x v="22"/>
    <n v="11"/>
    <n v="10745415712"/>
    <x v="0"/>
    <s v="ILAC"/>
    <s v="DE"/>
    <s v="No"/>
  </r>
  <r>
    <n v="18"/>
    <s v="May2025"/>
    <s v="Friday"/>
    <x v="22"/>
    <n v="12"/>
    <n v="10753084042"/>
    <x v="1"/>
    <s v="FBA"/>
    <s v="Referral fee"/>
    <s v="No"/>
  </r>
  <r>
    <n v="18"/>
    <s v="May2025"/>
    <s v="Friday"/>
    <x v="22"/>
    <n v="13"/>
    <n v="10774376872"/>
    <x v="2"/>
    <s v="ILAC"/>
    <s v="Item Ineligible"/>
    <s v="Yes"/>
  </r>
  <r>
    <n v="18"/>
    <s v="May2025"/>
    <s v="Friday"/>
    <x v="22"/>
    <n v="14"/>
    <n v="10753084042"/>
    <x v="3"/>
    <s v="FBA"/>
    <s v="Added follow up"/>
    <s v="No"/>
  </r>
  <r>
    <n v="18"/>
    <s v="May2025"/>
    <s v="Friday"/>
    <x v="22"/>
    <n v="15"/>
    <n v="10775169282"/>
    <x v="2"/>
    <s v="ILAC"/>
    <s v="Item Ineligible"/>
    <s v="No"/>
  </r>
  <r>
    <n v="18"/>
    <s v="May2025"/>
    <s v="Friday"/>
    <x v="22"/>
    <n v="16"/>
    <n v="10768997322"/>
    <x v="2"/>
    <s v="FBA"/>
    <s v="Removal Order"/>
    <s v="No"/>
  </r>
  <r>
    <n v="18"/>
    <s v="May2025"/>
    <s v="Friday"/>
    <x v="22"/>
    <n v="17"/>
    <n v="10775534732"/>
    <x v="2"/>
    <s v="FBA"/>
    <s v="Defective units"/>
    <s v="No"/>
  </r>
  <r>
    <n v="18"/>
    <s v="May2025"/>
    <s v="Friday"/>
    <x v="22"/>
    <n v="18"/>
    <n v="10775937862"/>
    <x v="3"/>
    <s v="ILAC"/>
    <s v="Open TT"/>
    <s v="Yes"/>
  </r>
  <r>
    <n v="18"/>
    <s v="May2025"/>
    <s v="Friday"/>
    <x v="22"/>
    <n v="19"/>
    <n v="10755026072"/>
    <x v="2"/>
    <s v="ILAC"/>
    <s v="Reimbursed"/>
    <s v="No"/>
  </r>
  <r>
    <n v="18"/>
    <s v="May2025"/>
    <s v="Friday"/>
    <x v="22"/>
    <n v="20"/>
    <n v="10775707872"/>
    <x v="2"/>
    <s v="MAT"/>
    <s v="Report a violation"/>
    <s v="No"/>
  </r>
  <r>
    <n v="6"/>
    <s v="Feb2025"/>
    <s v="Thursday"/>
    <x v="23"/>
    <n v="1"/>
    <n v="10775073292"/>
    <x v="2"/>
    <s v="ILAC"/>
    <s v="Shipment over 6 months"/>
    <s v="Yes"/>
  </r>
  <r>
    <n v="23"/>
    <s v="Jun2025"/>
    <s v="Monday"/>
    <x v="24"/>
    <n v="2"/>
    <n v="10781340872"/>
    <x v="0"/>
    <s v="MAT"/>
    <s v="VAT"/>
    <s v="No"/>
  </r>
  <r>
    <n v="23"/>
    <s v="Jun2025"/>
    <s v="Monday"/>
    <x v="24"/>
    <n v="3"/>
    <n v="10775608952"/>
    <x v="2"/>
    <s v="MAT"/>
    <s v="MFN"/>
    <s v="No"/>
  </r>
  <r>
    <n v="23"/>
    <s v="Jun2025"/>
    <s v="Monday"/>
    <x v="24"/>
    <n v="4"/>
    <n v="10744302952"/>
    <x v="2"/>
    <s v="FBA"/>
    <s v="WD"/>
    <s v="Yes"/>
  </r>
  <r>
    <n v="23"/>
    <s v="Jun2025"/>
    <s v="Monday"/>
    <x v="24"/>
    <n v="5"/>
    <n v="10781640462"/>
    <x v="1"/>
    <s v="MAT"/>
    <s v="Add a product"/>
    <s v="Yes"/>
  </r>
  <r>
    <n v="23"/>
    <s v="Jun2025"/>
    <s v="Monday"/>
    <x v="24"/>
    <n v="6"/>
    <n v="10747143202"/>
    <x v="3"/>
    <s v="ILAC"/>
    <s v="Open TT"/>
    <s v="No"/>
  </r>
  <r>
    <n v="23"/>
    <s v="Jun2025"/>
    <s v="Monday"/>
    <x v="24"/>
    <n v="7"/>
    <n v="10781260592"/>
    <x v="2"/>
    <s v="MAT"/>
    <s v="SIV"/>
    <s v="No"/>
  </r>
  <r>
    <n v="23"/>
    <s v="Jun2025"/>
    <s v="Monday"/>
    <x v="24"/>
    <n v="8"/>
    <n v="10782295412"/>
    <x v="2"/>
    <s v="ILAC"/>
    <s v="Reimbursed"/>
    <s v="No"/>
  </r>
  <r>
    <n v="23"/>
    <s v="Jun2025"/>
    <s v="Monday"/>
    <x v="24"/>
    <n v="9"/>
    <n v="10585817742"/>
    <x v="4"/>
    <s v="MAT"/>
    <s v="Add a product"/>
    <s v="No"/>
  </r>
  <r>
    <n v="23"/>
    <s v="Jun2025"/>
    <s v="Monday"/>
    <x v="24"/>
    <n v="10"/>
    <n v="10748023802"/>
    <x v="1"/>
    <s v="ILAC"/>
    <s v="Invoice"/>
    <s v="No"/>
  </r>
  <r>
    <n v="23"/>
    <s v="Jun2025"/>
    <s v="Monday"/>
    <x v="24"/>
    <n v="11"/>
    <n v="10782308022"/>
    <x v="2"/>
    <s v="MAT"/>
    <s v="Safe-T claim"/>
    <s v="No"/>
  </r>
  <r>
    <n v="23"/>
    <s v="Jun2025"/>
    <s v="Monday"/>
    <x v="24"/>
    <n v="12"/>
    <n v="10779804042"/>
    <x v="2"/>
    <s v="ILAC"/>
    <s v="Contents tab"/>
    <s v="No"/>
  </r>
  <r>
    <n v="23"/>
    <s v="Jun2025"/>
    <s v="Monday"/>
    <x v="24"/>
    <n v="13"/>
    <n v="10781085532"/>
    <x v="2"/>
    <s v="MAT"/>
    <s v="Unavailable balance"/>
    <s v="No"/>
  </r>
  <r>
    <n v="23"/>
    <s v="Jun2025"/>
    <s v="Monday"/>
    <x v="24"/>
    <n v="14"/>
    <n v="10781640462"/>
    <x v="2"/>
    <s v="MAT"/>
    <s v="E5886"/>
    <s v="Yes"/>
  </r>
  <r>
    <n v="23"/>
    <s v="Jun2025"/>
    <s v="Monday"/>
    <x v="24"/>
    <n v="15"/>
    <n v="10735682882"/>
    <x v="3"/>
    <s v="FBA"/>
    <s v="WD"/>
    <s v="Yes"/>
  </r>
  <r>
    <n v="23"/>
    <s v="Jun2025"/>
    <s v="Monday"/>
    <x v="24"/>
    <n v="16"/>
    <n v="10781660392"/>
    <x v="3"/>
    <s v="FBA"/>
    <s v="LPN number"/>
    <s v="Yes"/>
  </r>
  <r>
    <n v="23"/>
    <s v="Jun2025"/>
    <s v="Monday"/>
    <x v="24"/>
    <n v="17"/>
    <n v="10774376872"/>
    <x v="0"/>
    <s v="ILAC"/>
    <s v="*ILAC"/>
    <s v="Yes"/>
  </r>
  <r>
    <n v="23"/>
    <s v="Jun2025"/>
    <s v="Monday"/>
    <x v="24"/>
    <n v="18"/>
    <n v="10781839152"/>
    <x v="2"/>
    <s v="MAT"/>
    <s v="External Transfer"/>
    <s v="No"/>
  </r>
  <r>
    <n v="23"/>
    <s v="Jun2025"/>
    <s v="Monday"/>
    <x v="24"/>
    <n v="19"/>
    <n v="10774806572"/>
    <x v="2"/>
    <s v="MAT"/>
    <s v="E5461"/>
    <s v="No"/>
  </r>
  <r>
    <n v="23"/>
    <s v="Jun2025"/>
    <s v="Monday"/>
    <x v="24"/>
    <n v="20"/>
    <n v="10783006042"/>
    <x v="0"/>
    <s v="FBA"/>
    <s v="Removal Order"/>
    <s v="No"/>
  </r>
  <r>
    <n v="23"/>
    <s v="Jun2025"/>
    <s v="Monday"/>
    <x v="24"/>
    <n v="21"/>
    <n v="10783035352"/>
    <x v="1"/>
    <s v="FBA"/>
    <s v="Research why a FC cannot be found for a product"/>
    <s v="No"/>
  </r>
  <r>
    <n v="23"/>
    <s v="Jun2025"/>
    <s v="Monday"/>
    <x v="24"/>
    <n v="22"/>
    <n v="10782770962"/>
    <x v="2"/>
    <s v="FBA"/>
    <s v="Removal Order"/>
    <s v="Yes"/>
  </r>
  <r>
    <n v="23"/>
    <s v="Jun2025"/>
    <s v="Monday"/>
    <x v="24"/>
    <n v="23"/>
    <n v="10752322532"/>
    <x v="1"/>
    <s v="ILAC"/>
    <s v="Invoice"/>
    <s v="No"/>
  </r>
  <r>
    <n v="23"/>
    <s v="Jun2025"/>
    <s v="Monday"/>
    <x v="24"/>
    <n v="24"/>
    <n v="10782881592"/>
    <x v="2"/>
    <s v="MAT"/>
    <s v="Account closure"/>
    <s v="Yes"/>
  </r>
  <r>
    <n v="6"/>
    <s v="Feb2025"/>
    <s v="Friday"/>
    <x v="25"/>
    <n v="1"/>
    <n v="10620230772"/>
    <x v="0"/>
    <s v="ILAC"/>
    <s v="FBA"/>
    <s v="No"/>
  </r>
  <r>
    <n v="27"/>
    <s v="Jul2025"/>
    <s v="Wednesday"/>
    <x v="26"/>
    <n v="2"/>
    <n v="10759247232"/>
    <x v="1"/>
    <s v="ILAC"/>
    <s v="Req info"/>
    <s v="No"/>
  </r>
  <r>
    <n v="27"/>
    <s v="Jul2025"/>
    <s v="Wednesday"/>
    <x v="26"/>
    <n v="3"/>
    <n v="10783623622"/>
    <x v="2"/>
    <s v="FBA"/>
    <s v="Lost inventory"/>
    <s v="No"/>
  </r>
  <r>
    <n v="27"/>
    <s v="Jul2025"/>
    <s v="Wednesday"/>
    <x v="26"/>
    <n v="4"/>
    <n v="10784364072"/>
    <x v="2"/>
    <s v="FBA"/>
    <s v="Removal Order"/>
    <s v="No"/>
  </r>
  <r>
    <n v="27"/>
    <s v="Jul2025"/>
    <s v="Wednesday"/>
    <x v="26"/>
    <n v="5"/>
    <n v="10778450022"/>
    <x v="0"/>
    <s v="FBA"/>
    <s v="*SA"/>
    <s v="No"/>
  </r>
  <r>
    <n v="27"/>
    <s v="Jul2025"/>
    <s v="Wednesday"/>
    <x v="26"/>
    <n v="6"/>
    <n v="10784370772"/>
    <x v="2"/>
    <s v="FBA"/>
    <s v="Orders"/>
    <s v="No"/>
  </r>
  <r>
    <n v="27"/>
    <s v="Jul2025"/>
    <s v="Wednesday"/>
    <x v="26"/>
    <n v="7"/>
    <n v="10784461302"/>
    <x v="2"/>
    <s v="MAT"/>
    <s v="Add a product"/>
    <s v="No"/>
  </r>
  <r>
    <n v="27"/>
    <s v="Jul2025"/>
    <s v="Wednesday"/>
    <x v="26"/>
    <n v="8"/>
    <n v="10783164162"/>
    <x v="1"/>
    <s v="FBA"/>
    <s v="Distributor Damaged"/>
    <s v="No"/>
  </r>
  <r>
    <n v="27"/>
    <s v="Jul2025"/>
    <s v="Wednesday"/>
    <x v="26"/>
    <n v="9"/>
    <n v="10784716212"/>
    <x v="2"/>
    <s v="FBA"/>
    <s v="Orders"/>
    <s v="No"/>
  </r>
  <r>
    <n v="27"/>
    <s v="Jul2025"/>
    <s v="Wednesday"/>
    <x v="26"/>
    <n v="10"/>
    <n v="10727444522"/>
    <x v="3"/>
    <s v="FBA"/>
    <s v="Open TT"/>
    <s v="No"/>
  </r>
  <r>
    <n v="27"/>
    <s v="Jul2025"/>
    <s v="Wednesday"/>
    <x v="26"/>
    <n v="11"/>
    <n v="10772617392"/>
    <x v="2"/>
    <s v="ILAC"/>
    <s v="Prohibited items"/>
    <s v="No"/>
  </r>
  <r>
    <n v="27"/>
    <s v="Jul2025"/>
    <s v="Wednesday"/>
    <x v="26"/>
    <n v="12"/>
    <n v="10784950812"/>
    <x v="2"/>
    <s v="FBA"/>
    <s v="Removal Order"/>
    <s v="Yes"/>
  </r>
  <r>
    <n v="27"/>
    <s v="Jul2025"/>
    <s v="Wednesday"/>
    <x v="26"/>
    <n v="13"/>
    <n v="10771141482"/>
    <x v="1"/>
    <s v="FBA"/>
    <s v="Easyship "/>
    <s v="No"/>
  </r>
  <r>
    <n v="27"/>
    <s v="Jul2025"/>
    <s v="Wednesday"/>
    <x v="26"/>
    <n v="14"/>
    <n v="10785804742"/>
    <x v="2"/>
    <s v="FBA"/>
    <s v="Book an appointment"/>
    <s v="No"/>
  </r>
  <r>
    <n v="27"/>
    <s v="Jul2025"/>
    <s v="Wednesday"/>
    <x v="26"/>
    <n v="15"/>
    <n v="10668516602"/>
    <x v="0"/>
    <s v="FBA"/>
    <s v="IIDP"/>
    <s v="No"/>
  </r>
  <r>
    <n v="27"/>
    <s v="Jul2025"/>
    <s v="Wednesday"/>
    <x v="26"/>
    <n v="16"/>
    <n v="10785407152"/>
    <x v="4"/>
    <s v="MAT"/>
    <s v="Add a product"/>
    <s v="Yes"/>
  </r>
  <r>
    <n v="27"/>
    <s v="Jul2025"/>
    <s v="Wednesday"/>
    <x v="26"/>
    <n v="17"/>
    <n v="10771437132"/>
    <x v="2"/>
    <s v="FBA"/>
    <s v="Deals"/>
    <s v="No"/>
  </r>
  <r>
    <n v="27"/>
    <s v="Jul2025"/>
    <s v="Wednesday"/>
    <x v="26"/>
    <n v="18"/>
    <n v="10781640262"/>
    <x v="0"/>
    <s v="FBA"/>
    <s v="FFTD"/>
    <s v="No"/>
  </r>
  <r>
    <n v="27"/>
    <s v="Jul2025"/>
    <s v="Wednesday"/>
    <x v="26"/>
    <n v="19"/>
    <n v="10784631642"/>
    <x v="2"/>
    <s v="FBA"/>
    <s v="Damaged inventory"/>
    <s v="Yes"/>
  </r>
  <r>
    <n v="27"/>
    <s v="Jul2025"/>
    <s v="Wednesday"/>
    <x v="26"/>
    <n v="20"/>
    <n v="10783968342"/>
    <x v="0"/>
    <s v="FBA"/>
    <s v="Multiple identifiers"/>
    <s v="Yes"/>
  </r>
  <r>
    <n v="27"/>
    <s v="Jul2025"/>
    <s v="Wednesday"/>
    <x v="26"/>
    <n v="21"/>
    <n v="10786227562"/>
    <x v="0"/>
    <s v="FBA"/>
    <s v="WF auto transfer"/>
    <s v="No"/>
  </r>
  <r>
    <n v="27"/>
    <s v="Jul2025"/>
    <s v="Wednesday"/>
    <x v="26"/>
    <n v="22"/>
    <n v="10749459252"/>
    <x v="1"/>
    <s v="ILAC"/>
    <s v="POD"/>
    <s v="No"/>
  </r>
  <r>
    <n v="27"/>
    <s v="Jul2025"/>
    <s v="Wednesday"/>
    <x v="26"/>
    <n v="23"/>
    <n v="10784692382"/>
    <x v="2"/>
    <s v="FBA"/>
    <s v="Removal Order"/>
    <s v="No"/>
  </r>
  <r>
    <n v="27"/>
    <s v="Jul2025"/>
    <s v="Wednesday"/>
    <x v="26"/>
    <n v="24"/>
    <n v="10785821512"/>
    <x v="3"/>
    <s v="FBA"/>
    <s v="Unable to create removal order"/>
    <s v="No"/>
  </r>
  <r>
    <n v="27"/>
    <s v="Jul2025"/>
    <s v="Wednesday"/>
    <x v="26"/>
    <n v="25"/>
    <n v="10780491092"/>
    <x v="2"/>
    <s v="FBA"/>
    <s v="Inventory reports"/>
    <s v="No"/>
  </r>
  <r>
    <n v="27"/>
    <s v="Jul2025"/>
    <s v="Wednesday"/>
    <x v="26"/>
    <n v="26"/>
    <n v="10785178972"/>
    <x v="2"/>
    <s v="FBA"/>
    <s v="Damaged inventory"/>
    <s v="No"/>
  </r>
  <r>
    <n v="7"/>
    <s v="Feb2025"/>
    <s v="Tuesday"/>
    <x v="27"/>
    <n v="1"/>
    <n v="10796660672"/>
    <x v="0"/>
    <s v="MAT"/>
    <s v="ILAC"/>
    <s v="No"/>
  </r>
  <r>
    <n v="45"/>
    <s v="Nov2025"/>
    <s v="Sunday"/>
    <x v="28"/>
    <n v="2"/>
    <n v="10796456102"/>
    <x v="1"/>
    <s v="MAT"/>
    <s v="Report a violation"/>
    <s v="No"/>
  </r>
  <r>
    <n v="45"/>
    <s v="Nov2025"/>
    <s v="Sunday"/>
    <x v="28"/>
    <n v="3"/>
    <n v="10781275412"/>
    <x v="2"/>
    <s v="FBA"/>
    <s v="Cancel order"/>
    <s v="No"/>
  </r>
  <r>
    <n v="45"/>
    <s v="Nov2025"/>
    <s v="Sunday"/>
    <x v="28"/>
    <n v="4"/>
    <n v="10773057202"/>
    <x v="2"/>
    <s v="FBA"/>
    <s v="Removal Order"/>
    <s v="No"/>
  </r>
  <r>
    <n v="45"/>
    <s v="Nov2025"/>
    <s v="Sunday"/>
    <x v="28"/>
    <n v="5"/>
    <n v="10754723282"/>
    <x v="3"/>
    <s v="ILAC"/>
    <s v="Open TT"/>
    <s v="Yes"/>
  </r>
  <r>
    <n v="45"/>
    <s v="Nov2025"/>
    <s v="Sunday"/>
    <x v="28"/>
    <n v="6"/>
    <n v="10796644252"/>
    <x v="2"/>
    <s v="MAT"/>
    <s v="99 case"/>
    <s v="No"/>
  </r>
  <r>
    <n v="45"/>
    <s v="Nov2025"/>
    <s v="Sunday"/>
    <x v="28"/>
    <n v="7"/>
    <n v="10763696162"/>
    <x v="3"/>
    <s v="FBA"/>
    <s v="Open TT"/>
    <s v="No"/>
  </r>
  <r>
    <n v="45"/>
    <s v="Nov2025"/>
    <s v="Sunday"/>
    <x v="28"/>
    <n v="8"/>
    <n v="10796209502"/>
    <x v="0"/>
    <s v="FBA"/>
    <s v="CN"/>
    <s v="Yes"/>
  </r>
  <r>
    <n v="45"/>
    <s v="Nov2025"/>
    <s v="Sunday"/>
    <x v="28"/>
    <n v="9"/>
    <n v="10797003892"/>
    <x v="2"/>
    <s v="ILAC"/>
    <s v="Contents tab"/>
    <s v="No"/>
  </r>
  <r>
    <n v="45"/>
    <s v="Nov2025"/>
    <s v="Sunday"/>
    <x v="28"/>
    <n v="10"/>
    <n v="10790077232"/>
    <x v="3"/>
    <s v="FBA"/>
    <s v="Open TT"/>
    <s v="No"/>
  </r>
  <r>
    <n v="45"/>
    <s v="Nov2025"/>
    <s v="Sunday"/>
    <x v="28"/>
    <n v="11"/>
    <n v="10796910922"/>
    <x v="2"/>
    <s v="FBA"/>
    <s v="Removal Order"/>
    <s v="No"/>
  </r>
  <r>
    <n v="45"/>
    <s v="Nov2025"/>
    <s v="Sunday"/>
    <x v="28"/>
    <n v="12"/>
    <n v="10774667802"/>
    <x v="0"/>
    <s v="ILAC"/>
    <s v="CN"/>
    <s v="No"/>
  </r>
  <r>
    <n v="45"/>
    <s v="Nov2025"/>
    <s v="Sunday"/>
    <x v="28"/>
    <n v="13"/>
    <n v="10797099212"/>
    <x v="2"/>
    <s v="FBA"/>
    <s v="Removal Order"/>
    <s v="No"/>
  </r>
  <r>
    <n v="45"/>
    <s v="Nov2025"/>
    <s v="Sunday"/>
    <x v="28"/>
    <n v="14"/>
    <n v="10797092322"/>
    <x v="3"/>
    <s v="FBA"/>
    <s v="Open TT"/>
    <s v="Yes"/>
  </r>
  <r>
    <n v="45"/>
    <s v="Nov2025"/>
    <s v="Sunday"/>
    <x v="28"/>
    <n v="15"/>
    <n v="10797117032"/>
    <x v="0"/>
    <s v="MAT"/>
    <s v="Account closure"/>
    <s v="No"/>
  </r>
  <r>
    <n v="45"/>
    <s v="Nov2025"/>
    <s v="Sunday"/>
    <x v="28"/>
    <n v="16"/>
    <n v="10797206072"/>
    <x v="2"/>
    <s v="FBA"/>
    <s v="VAT"/>
    <s v="No"/>
  </r>
  <r>
    <n v="45"/>
    <s v="Nov2025"/>
    <s v="Sunday"/>
    <x v="28"/>
    <n v="17"/>
    <n v="10795972952"/>
    <x v="2"/>
    <s v="FBA"/>
    <s v="WD"/>
    <s v="No"/>
  </r>
  <r>
    <n v="45"/>
    <s v="Nov2025"/>
    <s v="Sunday"/>
    <x v="28"/>
    <n v="18"/>
    <n v="10797402932"/>
    <x v="2"/>
    <s v="MAT"/>
    <s v="Add a product"/>
    <s v="No"/>
  </r>
  <r>
    <n v="45"/>
    <s v="Nov2025"/>
    <s v="Sunday"/>
    <x v="28"/>
    <n v="19"/>
    <n v="10797925432"/>
    <x v="4"/>
    <s v="MAT"/>
    <s v="Campaign"/>
    <s v="Yes"/>
  </r>
  <r>
    <n v="45"/>
    <s v="Nov2025"/>
    <s v="Sunday"/>
    <x v="28"/>
    <n v="20"/>
    <n v="10796997682"/>
    <x v="2"/>
    <s v="ILAC"/>
    <s v="Contents tab"/>
    <s v="No"/>
  </r>
  <r>
    <n v="45"/>
    <s v="Nov2025"/>
    <s v="Sunday"/>
    <x v="28"/>
    <n v="21"/>
    <n v="10782765832"/>
    <x v="2"/>
    <s v="FBA"/>
    <s v="Removal Order"/>
    <s v="Yes"/>
  </r>
  <r>
    <n v="45"/>
    <s v="Nov2025"/>
    <s v="Sunday"/>
    <x v="28"/>
    <n v="22"/>
    <n v="10655135682"/>
    <x v="3"/>
    <s v="FBA"/>
    <s v="Removal Order"/>
    <s v="No"/>
  </r>
  <r>
    <n v="45"/>
    <s v="Nov2025"/>
    <s v="Sunday"/>
    <x v="28"/>
    <n v="23"/>
    <n v="10752315112"/>
    <x v="3"/>
    <s v="MAT"/>
    <s v="Open TT"/>
    <s v="No"/>
  </r>
  <r>
    <n v="45"/>
    <s v="Nov2025"/>
    <s v="Sunday"/>
    <x v="28"/>
    <n v="24"/>
    <n v="10797947812"/>
    <x v="2"/>
    <s v="MAT"/>
    <s v="Account closure"/>
    <s v="Yes"/>
  </r>
  <r>
    <n v="45"/>
    <s v="Nov2025"/>
    <s v="Sunday"/>
    <x v="28"/>
    <n v="25"/>
    <n v="10795214802"/>
    <x v="1"/>
    <s v="MAT"/>
    <s v="BP"/>
    <s v="Yes"/>
  </r>
  <r>
    <n v="45"/>
    <s v="Nov2025"/>
    <s v="Sunday"/>
    <x v="28"/>
    <n v="26"/>
    <n v="10784589902"/>
    <x v="1"/>
    <s v="ILAC"/>
    <s v="POD"/>
    <s v="No"/>
  </r>
  <r>
    <n v="45"/>
    <s v="Nov2025"/>
    <s v="Sunday"/>
    <x v="28"/>
    <n v="27"/>
    <n v="10798034142"/>
    <x v="3"/>
    <s v="MAT"/>
    <s v="Late shipment rate"/>
    <s v="No"/>
  </r>
  <r>
    <n v="45"/>
    <s v="Nov2025"/>
    <s v="Sunday"/>
    <x v="28"/>
    <n v="28"/>
    <n v="10798469832"/>
    <x v="2"/>
    <s v="FBA"/>
    <s v="Removal Order"/>
    <s v="No"/>
  </r>
  <r>
    <n v="7"/>
    <s v="Feb2025"/>
    <s v="Wednesday"/>
    <x v="29"/>
    <n v="1"/>
    <n v="10800536652"/>
    <x v="2"/>
    <s v="FBA"/>
    <s v="Damaged inventory"/>
    <s v="Yes"/>
  </r>
  <r>
    <n v="49"/>
    <s v="Dec2025"/>
    <s v="Tuesday"/>
    <x v="30"/>
    <n v="2"/>
    <n v="10800629392"/>
    <x v="3"/>
    <s v="MAT"/>
    <s v="E8541"/>
    <s v="No"/>
  </r>
  <r>
    <n v="49"/>
    <s v="Dec2025"/>
    <s v="Tuesday"/>
    <x v="30"/>
    <n v="3"/>
    <n v="10764092182"/>
    <x v="2"/>
    <s v="FBA"/>
    <s v="WD"/>
    <s v="No"/>
  </r>
  <r>
    <n v="49"/>
    <s v="Dec2025"/>
    <s v="Tuesday"/>
    <x v="30"/>
    <n v="4"/>
    <n v="10800731252"/>
    <x v="0"/>
    <s v="MAT"/>
    <s v="IIDP"/>
    <s v="No"/>
  </r>
  <r>
    <n v="49"/>
    <s v="Dec2025"/>
    <s v="Tuesday"/>
    <x v="30"/>
    <n v="5"/>
    <n v="10800054962"/>
    <x v="2"/>
    <s v="FBA"/>
    <s v="Removal Order"/>
    <s v="No"/>
  </r>
  <r>
    <n v="49"/>
    <s v="Dec2025"/>
    <s v="Tuesday"/>
    <x v="30"/>
    <n v="6"/>
    <n v="10801530372"/>
    <x v="0"/>
    <s v="MAT"/>
    <s v="Feeds"/>
    <s v="Yes"/>
  </r>
  <r>
    <n v="49"/>
    <s v="Dec2025"/>
    <s v="Tuesday"/>
    <x v="30"/>
    <n v="7"/>
    <n v="10790789882"/>
    <x v="2"/>
    <s v="FBA"/>
    <s v="Grade RMS"/>
    <s v="Yes"/>
  </r>
  <r>
    <n v="49"/>
    <s v="Dec2025"/>
    <s v="Tuesday"/>
    <x v="30"/>
    <n v="8"/>
    <n v="10798864032"/>
    <x v="0"/>
    <s v="ILAC"/>
    <s v="DE"/>
    <s v="No"/>
  </r>
  <r>
    <n v="49"/>
    <s v="Dec2025"/>
    <s v="Tuesday"/>
    <x v="30"/>
    <n v="9"/>
    <n v="10800502722"/>
    <x v="2"/>
    <s v="ILAC"/>
    <s v="No discrepancy"/>
    <s v="No"/>
  </r>
  <r>
    <n v="49"/>
    <s v="Dec2025"/>
    <s v="Tuesday"/>
    <x v="30"/>
    <n v="10"/>
    <n v="10795717062"/>
    <x v="1"/>
    <s v="MAT"/>
    <s v="Req info"/>
    <s v="No"/>
  </r>
  <r>
    <n v="49"/>
    <s v="Dec2025"/>
    <s v="Tuesday"/>
    <x v="30"/>
    <n v="11"/>
    <n v="10781026822"/>
    <x v="0"/>
    <s v="ILAC"/>
    <s v="CN"/>
    <s v="No"/>
  </r>
  <r>
    <n v="49"/>
    <s v="Dec2025"/>
    <s v="Tuesday"/>
    <x v="30"/>
    <n v="12"/>
    <n v="10769457462"/>
    <x v="2"/>
    <s v="FBA"/>
    <s v="Hazmat"/>
    <s v="No"/>
  </r>
  <r>
    <n v="49"/>
    <s v="Dec2025"/>
    <s v="Tuesday"/>
    <x v="30"/>
    <n v="13"/>
    <n v="10776096842"/>
    <x v="3"/>
    <s v="FBA"/>
    <s v="Open TT"/>
    <s v="No"/>
  </r>
  <r>
    <n v="49"/>
    <s v="Dec2025"/>
    <s v="Tuesday"/>
    <x v="30"/>
    <n v="14"/>
    <n v="10802720312"/>
    <x v="2"/>
    <s v="FBA"/>
    <s v="Sold listing report"/>
    <s v="No"/>
  </r>
  <r>
    <n v="49"/>
    <s v="Dec2025"/>
    <s v="Tuesday"/>
    <x v="30"/>
    <n v="15"/>
    <n v="10785966102"/>
    <x v="2"/>
    <s v="MAT"/>
    <s v="GPSR"/>
    <s v="No"/>
  </r>
  <r>
    <n v="49"/>
    <s v="Dec2025"/>
    <s v="Tuesday"/>
    <x v="30"/>
    <n v="16"/>
    <n v="10801021632"/>
    <x v="1"/>
    <s v="MAT"/>
    <s v="Req info"/>
    <s v="No"/>
  </r>
  <r>
    <n v="49"/>
    <s v="Dec2025"/>
    <s v="Tuesday"/>
    <x v="30"/>
    <n v="17"/>
    <n v="10672229412"/>
    <x v="3"/>
    <s v="FBA"/>
    <s v="Open TT"/>
    <s v="No"/>
  </r>
  <r>
    <n v="49"/>
    <s v="Dec2025"/>
    <s v="Tuesday"/>
    <x v="30"/>
    <n v="18"/>
    <n v="10802460102"/>
    <x v="2"/>
    <s v="FBA"/>
    <s v="Storage Fee"/>
    <s v="No"/>
  </r>
  <r>
    <n v="49"/>
    <s v="Dec2025"/>
    <s v="Tuesday"/>
    <x v="30"/>
    <n v="19"/>
    <n v="10803061852"/>
    <x v="2"/>
    <s v="FBA"/>
    <s v="Partnered carrier option missing"/>
    <s v="Yes"/>
  </r>
  <r>
    <n v="49"/>
    <s v="Dec2025"/>
    <s v="Tuesday"/>
    <x v="30"/>
    <n v="20"/>
    <n v="10794315882"/>
    <x v="2"/>
    <s v="ILAC"/>
    <s v="Reimbursed"/>
    <s v="Yes"/>
  </r>
  <r>
    <n v="49"/>
    <s v="Dec2025"/>
    <s v="Tuesday"/>
    <x v="30"/>
    <n v="21"/>
    <n v="10799992382"/>
    <x v="1"/>
    <s v="ILAC"/>
    <s v="Invoice"/>
    <s v="Yes"/>
  </r>
  <r>
    <n v="49"/>
    <s v="Dec2025"/>
    <s v="Tuesday"/>
    <x v="30"/>
    <n v="22"/>
    <n v="10785460532"/>
    <x v="2"/>
    <s v="FBA"/>
    <s v="Lost inventory"/>
    <s v="No"/>
  </r>
  <r>
    <n v="49"/>
    <s v="Dec2025"/>
    <s v="Tuesday"/>
    <x v="30"/>
    <n v="23"/>
    <n v="10785954752"/>
    <x v="3"/>
    <s v="FBA"/>
    <s v="Open TT"/>
    <s v="No"/>
  </r>
  <r>
    <n v="49"/>
    <s v="Dec2025"/>
    <s v="Tuesday"/>
    <x v="30"/>
    <n v="24"/>
    <n v="10774824422"/>
    <x v="0"/>
    <s v="ILAC"/>
    <s v="HV"/>
    <s v="No"/>
  </r>
  <r>
    <n v="49"/>
    <s v="Dec2025"/>
    <s v="Tuesday"/>
    <x v="30"/>
    <n v="25"/>
    <n v="10797092322"/>
    <x v="2"/>
    <s v="FBA"/>
    <s v="Easyship "/>
    <s v="No"/>
  </r>
  <r>
    <n v="49"/>
    <s v="Dec2025"/>
    <s v="Tuesday"/>
    <x v="30"/>
    <n v="26"/>
    <n v="10803485592"/>
    <x v="0"/>
    <s v="ILAC"/>
    <s v="HV"/>
    <s v="No"/>
  </r>
  <r>
    <n v="49"/>
    <s v="Dec2025"/>
    <s v="Tuesday"/>
    <x v="30"/>
    <n v="27"/>
    <n v="10803625112"/>
    <x v="2"/>
    <s v="FBA"/>
    <s v="Duplicate case"/>
    <s v="No"/>
  </r>
  <r>
    <n v="49"/>
    <s v="Dec2025"/>
    <s v="Tuesday"/>
    <x v="30"/>
    <n v="28"/>
    <n v="10799792022"/>
    <x v="2"/>
    <s v="FBA"/>
    <s v="Featured offer"/>
    <s v="No"/>
  </r>
  <r>
    <n v="49"/>
    <s v="Dec2025"/>
    <s v="Tuesday"/>
    <x v="30"/>
    <n v="29"/>
    <n v="10802800832"/>
    <x v="2"/>
    <s v="FBA"/>
    <s v="Lost inventory"/>
    <s v="No"/>
  </r>
  <r>
    <n v="7"/>
    <s v="Feb2025"/>
    <s v="Thursday"/>
    <x v="31"/>
    <n v="1"/>
    <n v="10804857552"/>
    <x v="2"/>
    <s v="MAT"/>
    <s v="Inactive listing"/>
    <s v="No"/>
  </r>
  <r>
    <n v="7"/>
    <s v="Feb2025"/>
    <s v="Thursday"/>
    <x v="31"/>
    <n v="2"/>
    <n v="10804857552"/>
    <x v="2"/>
    <s v="MAT"/>
    <s v="Report a violation"/>
    <s v="No"/>
  </r>
  <r>
    <n v="7"/>
    <s v="Feb2025"/>
    <s v="Thursday"/>
    <x v="31"/>
    <n v="3"/>
    <n v="10790789882"/>
    <x v="0"/>
    <s v="FBA"/>
    <s v="Alternate queue"/>
    <s v="No"/>
  </r>
  <r>
    <n v="7"/>
    <s v="Feb2025"/>
    <s v="Thursday"/>
    <x v="31"/>
    <n v="4"/>
    <n v="10805034052"/>
    <x v="1"/>
    <s v="MAT"/>
    <s v="Chat disconnected"/>
    <s v="Yes"/>
  </r>
  <r>
    <n v="7"/>
    <s v="Feb2025"/>
    <s v="Thursday"/>
    <x v="31"/>
    <n v="5"/>
    <n v="10804876272"/>
    <x v="2"/>
    <s v="MAT"/>
    <s v="Disbursement"/>
    <s v="Yes"/>
  </r>
  <r>
    <n v="7"/>
    <s v="Feb2025"/>
    <s v="Thursday"/>
    <x v="31"/>
    <n v="6"/>
    <n v="10805118382"/>
    <x v="2"/>
    <s v="FBA"/>
    <s v="Feedback removal req"/>
    <s v="No"/>
  </r>
  <r>
    <n v="7"/>
    <s v="Feb2025"/>
    <s v="Thursday"/>
    <x v="31"/>
    <n v="7"/>
    <n v="10801258882"/>
    <x v="0"/>
    <s v="ILAC"/>
    <s v="DE"/>
    <s v="No"/>
  </r>
  <r>
    <n v="7"/>
    <s v="Feb2025"/>
    <s v="Thursday"/>
    <x v="31"/>
    <n v="8"/>
    <n v="10798584702"/>
    <x v="0"/>
    <s v="ILAC"/>
    <s v="DE"/>
    <s v="No"/>
  </r>
  <r>
    <n v="7"/>
    <s v="Feb2025"/>
    <s v="Thursday"/>
    <x v="31"/>
    <n v="9"/>
    <n v="10805851632"/>
    <x v="1"/>
    <s v="MAT"/>
    <s v="Req info"/>
    <s v="No"/>
  </r>
  <r>
    <n v="7"/>
    <s v="Feb2025"/>
    <s v="Thursday"/>
    <x v="31"/>
    <n v="10"/>
    <n v="10806204212"/>
    <x v="2"/>
    <s v="FBA"/>
    <s v="Defective units"/>
    <s v="No"/>
  </r>
  <r>
    <n v="7"/>
    <s v="Feb2025"/>
    <s v="Thursday"/>
    <x v="31"/>
    <n v="11"/>
    <n v="10799510802"/>
    <x v="0"/>
    <s v="MAT"/>
    <s v="Ads"/>
    <s v="Yes"/>
  </r>
  <r>
    <n v="7"/>
    <s v="Feb2025"/>
    <s v="Thursday"/>
    <x v="31"/>
    <n v="12"/>
    <n v="10785653572"/>
    <x v="1"/>
    <s v="ILAC"/>
    <s v="POD"/>
    <s v="No"/>
  </r>
  <r>
    <n v="7"/>
    <s v="Feb2025"/>
    <s v="Thursday"/>
    <x v="31"/>
    <n v="13"/>
    <n v="10805759312"/>
    <x v="2"/>
    <s v="MAT"/>
    <s v="User permission"/>
    <s v="No"/>
  </r>
  <r>
    <n v="7"/>
    <s v="Feb2025"/>
    <s v="Thursday"/>
    <x v="31"/>
    <n v="14"/>
    <n v="10805807062"/>
    <x v="2"/>
    <s v="MAT"/>
    <s v="Feedback removal req"/>
    <s v="No"/>
  </r>
  <r>
    <n v="7"/>
    <s v="Feb2025"/>
    <s v="Friday"/>
    <x v="32"/>
    <n v="1"/>
    <n v="10807992072"/>
    <x v="2"/>
    <s v="FBA"/>
    <s v="Removal Order"/>
    <s v="No"/>
  </r>
  <r>
    <n v="7"/>
    <s v="Feb2025"/>
    <s v="Friday"/>
    <x v="32"/>
    <n v="2"/>
    <n v="10791217822"/>
    <x v="3"/>
    <s v="FBA"/>
    <s v="WD"/>
    <s v="Yes"/>
  </r>
  <r>
    <n v="7"/>
    <s v="Feb2025"/>
    <s v="Friday"/>
    <x v="32"/>
    <n v="3"/>
    <n v="10735131122"/>
    <x v="3"/>
    <s v="FBA"/>
    <s v="Open TT"/>
    <s v="No"/>
  </r>
  <r>
    <n v="7"/>
    <s v="Feb2025"/>
    <s v="Friday"/>
    <x v="32"/>
    <n v="4"/>
    <n v="10773388592"/>
    <x v="2"/>
    <s v="FBA"/>
    <s v="Informed as per TT"/>
    <s v="No"/>
  </r>
  <r>
    <n v="7"/>
    <s v="Feb2025"/>
    <s v="Friday"/>
    <x v="32"/>
    <n v="5"/>
    <n v="10813056002"/>
    <x v="2"/>
    <s v="FBA"/>
    <s v="Receiving"/>
    <s v="No"/>
  </r>
  <r>
    <n v="7"/>
    <s v="Feb2025"/>
    <s v="Friday"/>
    <x v="32"/>
    <n v="6"/>
    <n v="10811498492"/>
    <x v="2"/>
    <s v="FBA"/>
    <s v="Label"/>
    <s v="No"/>
  </r>
  <r>
    <n v="7"/>
    <s v="Feb2025"/>
    <s v="Friday"/>
    <x v="32"/>
    <n v="7"/>
    <n v="10811993642"/>
    <x v="0"/>
    <s v="MAT"/>
    <s v="CN"/>
    <s v="No"/>
  </r>
  <r>
    <n v="7"/>
    <s v="Feb2025"/>
    <s v="Friday"/>
    <x v="32"/>
    <n v="8"/>
    <n v="10812387922"/>
    <x v="0"/>
    <s v="ILAC"/>
    <s v="FbA"/>
    <s v="No"/>
  </r>
  <r>
    <n v="7"/>
    <s v="Feb2025"/>
    <s v="Friday"/>
    <x v="32"/>
    <n v="9"/>
    <n v="10131856552"/>
    <x v="3"/>
    <s v="FBA"/>
    <s v="Open TT"/>
    <s v="No"/>
  </r>
  <r>
    <n v="7"/>
    <s v="Feb2025"/>
    <s v="Friday"/>
    <x v="32"/>
    <n v="10"/>
    <n v="10811909562"/>
    <x v="2"/>
    <s v="FBA"/>
    <s v="Hazmat"/>
    <s v="Yes"/>
  </r>
  <r>
    <n v="7"/>
    <s v="Feb2025"/>
    <s v="Friday"/>
    <x v="32"/>
    <n v="11"/>
    <n v="10811233432"/>
    <x v="2"/>
    <s v="FBA"/>
    <s v="Easyship "/>
    <s v="No"/>
  </r>
  <r>
    <n v="7"/>
    <s v="Feb2025"/>
    <s v="Friday"/>
    <x v="32"/>
    <n v="12"/>
    <n v="10747694552"/>
    <x v="1"/>
    <s v="ILAC"/>
    <s v="Req info"/>
    <s v="No"/>
  </r>
  <r>
    <n v="7"/>
    <s v="Feb2025"/>
    <s v="Friday"/>
    <x v="32"/>
    <n v="13"/>
    <n v="10811341682"/>
    <x v="1"/>
    <s v="ILAC"/>
    <s v="Req info"/>
    <s v="Yes"/>
  </r>
  <r>
    <n v="7"/>
    <s v="Feb2025"/>
    <s v="Friday"/>
    <x v="32"/>
    <n v="14"/>
    <n v="10812777722"/>
    <x v="2"/>
    <s v="MAT"/>
    <s v="Safe-T claim"/>
    <s v="No"/>
  </r>
  <r>
    <n v="7"/>
    <s v="Feb2025"/>
    <s v="Friday"/>
    <x v="32"/>
    <n v="15"/>
    <n v="10810528972"/>
    <x v="0"/>
    <s v="ILAC"/>
    <s v="HV"/>
    <s v="No"/>
  </r>
  <r>
    <n v="7"/>
    <s v="Feb2025"/>
    <s v="Friday"/>
    <x v="32"/>
    <n v="16"/>
    <n v="10798544612"/>
    <x v="4"/>
    <s v="ILAC"/>
    <s v="Item Ineligible"/>
    <s v="No"/>
  </r>
  <r>
    <n v="7"/>
    <s v="Feb2025"/>
    <s v="Friday"/>
    <x v="32"/>
    <n v="17"/>
    <n v="10792316432"/>
    <x v="3"/>
    <s v="FBA"/>
    <s v="Open TT"/>
    <s v="No"/>
  </r>
  <r>
    <n v="7"/>
    <s v="Feb2025"/>
    <s v="Friday"/>
    <x v="32"/>
    <n v="18"/>
    <n v="10811234382"/>
    <x v="2"/>
    <s v="ILAC"/>
    <s v="Shipment over 6 months"/>
    <s v="No"/>
  </r>
  <r>
    <n v="7"/>
    <s v="Feb2025"/>
    <s v="Friday"/>
    <x v="32"/>
    <n v="19"/>
    <n v="10812911452"/>
    <x v="3"/>
    <s v="FBA"/>
    <s v="Open TT"/>
    <s v="No"/>
  </r>
  <r>
    <n v="7"/>
    <s v="Feb2025"/>
    <s v="Friday"/>
    <x v="32"/>
    <n v="20"/>
    <n v="10813365652"/>
    <x v="3"/>
    <s v="FBA"/>
    <s v="Added follow up"/>
    <s v="Yes"/>
  </r>
  <r>
    <n v="7"/>
    <s v="Feb2025"/>
    <s v="Friday"/>
    <x v="32"/>
    <n v="21"/>
    <n v="10812317382"/>
    <x v="0"/>
    <s v="FBA"/>
    <s v="*AE"/>
    <s v="Yes"/>
  </r>
  <r>
    <n v="7"/>
    <s v="Feb2025"/>
    <s v="Friday"/>
    <x v="32"/>
    <n v="22"/>
    <n v="10800343952"/>
    <x v="3"/>
    <s v="FBA"/>
    <s v="Open TT"/>
    <s v="No"/>
  </r>
  <r>
    <n v="7"/>
    <s v="Feb2025"/>
    <s v="Friday"/>
    <x v="32"/>
    <n v="23"/>
    <n v="10792201102"/>
    <x v="2"/>
    <s v="MAT"/>
    <s v="Inactive listing"/>
    <s v="Yes"/>
  </r>
  <r>
    <n v="7"/>
    <s v="Feb2025"/>
    <s v="Friday"/>
    <x v="32"/>
    <n v="24"/>
    <n v="10813079902"/>
    <x v="1"/>
    <s v="ILAC"/>
    <s v="POD"/>
    <s v="No"/>
  </r>
  <r>
    <n v="7"/>
    <s v="Feb2025"/>
    <s v="Friday"/>
    <x v="32"/>
    <n v="25"/>
    <n v="10794946202"/>
    <x v="3"/>
    <s v="FBA"/>
    <s v="Open TT"/>
    <s v="No"/>
  </r>
  <r>
    <n v="8"/>
    <s v="Feb2025"/>
    <s v="Tuesday"/>
    <x v="33"/>
    <n v="1"/>
    <n v="10813775672"/>
    <x v="2"/>
    <s v="FBA"/>
    <s v="Inactive listing"/>
    <s v="No"/>
  </r>
  <r>
    <n v="8"/>
    <s v="Feb2025"/>
    <s v="Tuesday"/>
    <x v="33"/>
    <n v="2"/>
    <n v="10824986192"/>
    <x v="2"/>
    <s v="FBA"/>
    <s v="Global selling"/>
    <s v="Yes"/>
  </r>
  <r>
    <n v="8"/>
    <s v="Feb2025"/>
    <s v="Tuesday"/>
    <x v="33"/>
    <n v="3"/>
    <n v="10824712522"/>
    <x v="2"/>
    <s v="MAT"/>
    <s v="Disbursement"/>
    <s v="No"/>
  </r>
  <r>
    <n v="8"/>
    <s v="Feb2025"/>
    <s v="Tuesday"/>
    <x v="33"/>
    <n v="4"/>
    <n v="10825200372"/>
    <x v="0"/>
    <s v="FBA"/>
    <s v="ILAC"/>
    <s v="Yes"/>
  </r>
  <r>
    <n v="8"/>
    <s v="Feb2025"/>
    <s v="Tuesday"/>
    <x v="33"/>
    <n v="5"/>
    <n v="10808092422"/>
    <x v="3"/>
    <s v="FBA"/>
    <s v="Reserved inventory"/>
    <s v="Yes"/>
  </r>
  <r>
    <n v="8"/>
    <s v="Feb2025"/>
    <s v="Tuesday"/>
    <x v="33"/>
    <n v="6"/>
    <n v="10824712522"/>
    <x v="0"/>
    <s v="MAT"/>
    <s v="Merchant credits team"/>
    <s v="No"/>
  </r>
  <r>
    <n v="8"/>
    <s v="Feb2025"/>
    <s v="Tuesday"/>
    <x v="33"/>
    <n v="7"/>
    <n v="10825019502"/>
    <x v="2"/>
    <s v="MAT"/>
    <s v="External Transfer"/>
    <s v="No"/>
  </r>
  <r>
    <n v="8"/>
    <s v="Feb2025"/>
    <s v="Tuesday"/>
    <x v="33"/>
    <n v="8"/>
    <n v="10825367022"/>
    <x v="1"/>
    <s v="ILAC"/>
    <s v="Reopen req - shipment"/>
    <s v="No"/>
  </r>
  <r>
    <n v="8"/>
    <s v="Feb2025"/>
    <s v="Tuesday"/>
    <x v="33"/>
    <n v="9"/>
    <n v="10825600832"/>
    <x v="0"/>
    <s v="MAT"/>
    <s v="Feeds"/>
    <s v="No"/>
  </r>
  <r>
    <n v="8"/>
    <s v="Feb2025"/>
    <s v="Tuesday"/>
    <x v="33"/>
    <n v="10"/>
    <n v="10791558752"/>
    <x v="1"/>
    <s v="FBA"/>
    <s v="Removal Order"/>
    <s v="No"/>
  </r>
  <r>
    <n v="8"/>
    <s v="Feb2025"/>
    <s v="Tuesday"/>
    <x v="33"/>
    <n v="11"/>
    <n v="10825777092"/>
    <x v="0"/>
    <s v="FBA"/>
    <s v="BR support"/>
    <s v="No"/>
  </r>
  <r>
    <n v="8"/>
    <s v="Feb2025"/>
    <s v="Tuesday"/>
    <x v="33"/>
    <n v="12"/>
    <n v="10825706522"/>
    <x v="2"/>
    <s v="FBA"/>
    <s v="Removal Order"/>
    <s v="No"/>
  </r>
  <r>
    <n v="8"/>
    <s v="Feb2025"/>
    <s v="Tuesday"/>
    <x v="33"/>
    <n v="13"/>
    <n v="10825737412"/>
    <x v="0"/>
    <s v="MAT"/>
    <s v="Feeds"/>
    <s v="No"/>
  </r>
  <r>
    <n v="8"/>
    <s v="Feb2025"/>
    <s v="Tuesday"/>
    <x v="33"/>
    <n v="14"/>
    <n v="10826252872"/>
    <x v="2"/>
    <s v="MAT"/>
    <s v="Feedback removal req"/>
    <s v="Yes"/>
  </r>
  <r>
    <n v="8"/>
    <s v="Feb2025"/>
    <s v="Tuesday"/>
    <x v="33"/>
    <n v="15"/>
    <n v="10758950502"/>
    <x v="1"/>
    <s v="ILAC"/>
    <s v="Invoice"/>
    <s v="No"/>
  </r>
  <r>
    <n v="8"/>
    <s v="Feb2025"/>
    <s v="Tuesday"/>
    <x v="33"/>
    <n v="16"/>
    <n v="10825852902"/>
    <x v="2"/>
    <s v="MAT"/>
    <s v="Account deactivated"/>
    <s v="No"/>
  </r>
  <r>
    <n v="8"/>
    <s v="Feb2025"/>
    <s v="Tuesday"/>
    <x v="33"/>
    <n v="17"/>
    <n v="10825838022"/>
    <x v="2"/>
    <s v="ILAC"/>
    <s v="Contents tab"/>
    <s v="No"/>
  </r>
  <r>
    <n v="8"/>
    <s v="Feb2025"/>
    <s v="Tuesday"/>
    <x v="33"/>
    <n v="18"/>
    <n v="10825257962"/>
    <x v="2"/>
    <s v="FBA"/>
    <s v="Coupon"/>
    <s v="Yes"/>
  </r>
  <r>
    <n v="8"/>
    <s v="Feb2025"/>
    <s v="Tuesday"/>
    <x v="33"/>
    <n v="19"/>
    <n v="10826095512"/>
    <x v="1"/>
    <s v="ILAC"/>
    <s v="BOL"/>
    <s v="No"/>
  </r>
  <r>
    <n v="8"/>
    <s v="Feb2025"/>
    <s v="Tuesday"/>
    <x v="33"/>
    <n v="20"/>
    <n v="10756635812"/>
    <x v="0"/>
    <s v="ILAC"/>
    <s v="DE"/>
    <s v="No"/>
  </r>
  <r>
    <n v="8"/>
    <s v="Feb2025"/>
    <s v="Tuesday"/>
    <x v="33"/>
    <n v="21"/>
    <n v="10811607022"/>
    <x v="3"/>
    <s v="FBA"/>
    <s v="Open TT"/>
    <s v="No"/>
  </r>
  <r>
    <n v="8"/>
    <s v="Feb2025"/>
    <s v="Tuesday"/>
    <x v="33"/>
    <n v="22"/>
    <n v="10823682182"/>
    <x v="2"/>
    <s v="FBA"/>
    <s v="WD"/>
    <s v="No"/>
  </r>
  <r>
    <n v="8"/>
    <s v="Feb2025"/>
    <s v="Tuesday"/>
    <x v="33"/>
    <n v="23"/>
    <n v="10826548892"/>
    <x v="3"/>
    <s v="MAT"/>
    <s v="E5461"/>
    <s v="No"/>
  </r>
  <r>
    <n v="8"/>
    <s v="Feb2025"/>
    <s v="Tuesday"/>
    <x v="33"/>
    <n v="24"/>
    <n v="10826263492"/>
    <x v="2"/>
    <s v="MAT"/>
    <s v="Feedback removal req"/>
    <s v="No"/>
  </r>
  <r>
    <n v="8"/>
    <s v="Feb2025"/>
    <s v="Tuesday"/>
    <x v="33"/>
    <n v="25"/>
    <n v="10823941962"/>
    <x v="2"/>
    <s v="FBA"/>
    <s v="Removal Order"/>
    <s v="No"/>
  </r>
  <r>
    <n v="8"/>
    <s v="Feb2025"/>
    <s v="Tuesday"/>
    <x v="33"/>
    <n v="26"/>
    <n v="10820903392"/>
    <x v="3"/>
    <s v="FBA"/>
    <s v="Open TT"/>
    <s v="No"/>
  </r>
  <r>
    <n v="8"/>
    <s v="Feb2025"/>
    <s v="Tuesday"/>
    <x v="33"/>
    <n v="27"/>
    <n v="10822775072"/>
    <x v="2"/>
    <s v="ILAC"/>
    <s v="Shipment over 6 months"/>
    <s v="Yes"/>
  </r>
  <r>
    <n v="8"/>
    <s v="Feb2025"/>
    <s v="Tuesday"/>
    <x v="33"/>
    <n v="28"/>
    <n v="10826524042"/>
    <x v="2"/>
    <s v="MAT"/>
    <s v="Orders"/>
    <s v="No"/>
  </r>
  <r>
    <n v="8"/>
    <s v="Feb2025"/>
    <s v="Tuesday"/>
    <x v="33"/>
    <n v="29"/>
    <n v="10653525222"/>
    <x v="3"/>
    <s v="MAT"/>
    <s v="Open TT"/>
    <s v="No"/>
  </r>
  <r>
    <n v="8"/>
    <s v="Feb2025"/>
    <s v="Tuesday"/>
    <x v="33"/>
    <n v="30"/>
    <n v="10826447382"/>
    <x v="0"/>
    <s v="FBA"/>
    <s v="VCS"/>
    <s v="No"/>
  </r>
  <r>
    <n v="8"/>
    <s v="Feb2025"/>
    <s v="Tuesday"/>
    <x v="33"/>
    <n v="31"/>
    <n v="10783394872"/>
    <x v="1"/>
    <s v="ILAC"/>
    <s v="BOL"/>
    <s v="No"/>
  </r>
  <r>
    <n v="8"/>
    <s v="Feb2025"/>
    <s v="Wednesday"/>
    <x v="34"/>
    <n v="1"/>
    <n v="10824402642"/>
    <x v="1"/>
    <s v="FBA"/>
    <s v="Req info"/>
    <s v="Yes"/>
  </r>
  <r>
    <n v="8"/>
    <s v="Feb2025"/>
    <s v="Wednesday"/>
    <x v="34"/>
    <n v="2"/>
    <n v="10811739142"/>
    <x v="2"/>
    <s v="FBA"/>
    <s v="Inactive listing"/>
    <s v="No"/>
  </r>
  <r>
    <n v="8"/>
    <s v="Feb2025"/>
    <s v="Wednesday"/>
    <x v="34"/>
    <n v="3"/>
    <n v="10755926792"/>
    <x v="3"/>
    <s v="FBA"/>
    <s v="Cannot create shipment"/>
    <s v="No"/>
  </r>
  <r>
    <n v="8"/>
    <s v="Feb2025"/>
    <s v="Wednesday"/>
    <x v="34"/>
    <n v="4"/>
    <n v="10828204022"/>
    <x v="3"/>
    <s v="FBA"/>
    <s v="Unable to create removal order"/>
    <s v="No"/>
  </r>
  <r>
    <n v="8"/>
    <s v="Feb2025"/>
    <s v="Wednesday"/>
    <x v="34"/>
    <n v="5"/>
    <n v="10828416972"/>
    <x v="0"/>
    <s v="MAT"/>
    <s v="ILAC"/>
    <s v="No"/>
  </r>
  <r>
    <n v="8"/>
    <s v="Feb2025"/>
    <s v="Wednesday"/>
    <x v="34"/>
    <n v="6"/>
    <n v="10827954992"/>
    <x v="0"/>
    <s v="ILAC"/>
    <s v="HV"/>
    <s v="Yes"/>
  </r>
  <r>
    <n v="8"/>
    <s v="Feb2025"/>
    <s v="Wednesday"/>
    <x v="34"/>
    <n v="7"/>
    <n v="10805382512"/>
    <x v="1"/>
    <s v="ILAC"/>
    <s v="Invoice"/>
    <s v="No"/>
  </r>
  <r>
    <n v="8"/>
    <s v="Feb2025"/>
    <s v="Wednesday"/>
    <x v="34"/>
    <n v="8"/>
    <n v="10595796002"/>
    <x v="3"/>
    <s v="FBA"/>
    <s v="Open TT"/>
    <s v="No"/>
  </r>
  <r>
    <n v="8"/>
    <s v="Feb2025"/>
    <s v="Wednesday"/>
    <x v="34"/>
    <n v="9"/>
    <n v="10828822282"/>
    <x v="0"/>
    <s v="MAT"/>
    <s v="EG"/>
    <s v="No"/>
  </r>
  <r>
    <n v="8"/>
    <s v="Feb2025"/>
    <s v="Wednesday"/>
    <x v="34"/>
    <n v="10"/>
    <n v="10826325622"/>
    <x v="2"/>
    <s v="FBA"/>
    <s v="Cannot create shipment"/>
    <s v="No"/>
  </r>
  <r>
    <n v="8"/>
    <s v="Feb2025"/>
    <s v="Wednesday"/>
    <x v="34"/>
    <n v="11"/>
    <n v="10828847732"/>
    <x v="2"/>
    <s v="FBA"/>
    <s v="ASIN remap"/>
    <s v="No"/>
  </r>
  <r>
    <n v="8"/>
    <s v="Feb2025"/>
    <s v="Wednesday"/>
    <x v="34"/>
    <n v="12"/>
    <n v="10641519692"/>
    <x v="0"/>
    <s v="ILAC"/>
    <s v="FBA"/>
    <s v="No"/>
  </r>
  <r>
    <n v="8"/>
    <s v="Feb2025"/>
    <s v="Wednesday"/>
    <x v="34"/>
    <n v="13"/>
    <n v="10805909612"/>
    <x v="1"/>
    <s v="ILAC"/>
    <s v="Req info"/>
    <s v="No"/>
  </r>
  <r>
    <n v="8"/>
    <s v="Feb2025"/>
    <s v="Wednesday"/>
    <x v="34"/>
    <n v="14"/>
    <n v="10829706552"/>
    <x v="0"/>
    <s v="MAT"/>
    <s v="BR support"/>
    <s v="No"/>
  </r>
  <r>
    <n v="8"/>
    <s v="Feb2025"/>
    <s v="Wednesday"/>
    <x v="34"/>
    <n v="15"/>
    <n v="10807385042"/>
    <x v="2"/>
    <s v="FBA"/>
    <s v="Grade RMS"/>
    <s v="No"/>
  </r>
  <r>
    <n v="8"/>
    <s v="Feb2025"/>
    <s v="Wednesday"/>
    <x v="34"/>
    <n v="16"/>
    <n v="10829789982"/>
    <x v="2"/>
    <s v="MAT"/>
    <s v="Account status"/>
    <s v="No"/>
  </r>
  <r>
    <n v="8"/>
    <s v="Feb2025"/>
    <s v="Wednesday"/>
    <x v="34"/>
    <n v="17"/>
    <n v="10829280522"/>
    <x v="0"/>
    <s v="MAT"/>
    <s v="VCS"/>
    <s v="Yes"/>
  </r>
  <r>
    <n v="8"/>
    <s v="Feb2025"/>
    <s v="Wednesday"/>
    <x v="34"/>
    <n v="18"/>
    <n v="10808316462"/>
    <x v="3"/>
    <s v="MAT"/>
    <s v="Open TT"/>
    <s v="No"/>
  </r>
  <r>
    <n v="8"/>
    <s v="Feb2025"/>
    <s v="Wednesday"/>
    <x v="34"/>
    <n v="19"/>
    <n v="10829704662"/>
    <x v="2"/>
    <s v="FBA"/>
    <s v="Grade RMS"/>
    <s v="Yes"/>
  </r>
  <r>
    <n v="8"/>
    <s v="Feb2025"/>
    <s v="Wednesday"/>
    <x v="34"/>
    <n v="20"/>
    <n v="10826325622"/>
    <x v="1"/>
    <s v="FBA"/>
    <s v="Req info"/>
    <s v="No"/>
  </r>
  <r>
    <n v="8"/>
    <s v="Feb2025"/>
    <s v="Wednesday"/>
    <x v="34"/>
    <n v="21"/>
    <n v="10829511722"/>
    <x v="2"/>
    <s v="FBA"/>
    <s v="Invoice"/>
    <s v="No"/>
  </r>
  <r>
    <n v="8"/>
    <s v="Feb2025"/>
    <s v="Wednesday"/>
    <x v="34"/>
    <n v="22"/>
    <n v="10826325622"/>
    <x v="3"/>
    <s v="FBA"/>
    <s v="Cannot create shipment"/>
    <s v="Yes"/>
  </r>
  <r>
    <n v="8"/>
    <s v="Feb2025"/>
    <s v="Wednesday"/>
    <x v="34"/>
    <n v="23"/>
    <n v="10829161932"/>
    <x v="1"/>
    <s v="FBA"/>
    <s v="Reopen req - shipment"/>
    <s v="Yes"/>
  </r>
  <r>
    <n v="8"/>
    <s v="Feb2025"/>
    <s v="Wednesday"/>
    <x v="34"/>
    <n v="24"/>
    <n v="10828784272"/>
    <x v="2"/>
    <s v="FBA"/>
    <s v="Removal Order"/>
    <s v="No"/>
  </r>
  <r>
    <n v="8"/>
    <s v="Feb2025"/>
    <s v="Wednesday"/>
    <x v="34"/>
    <n v="25"/>
    <n v="10818471022"/>
    <x v="2"/>
    <s v="ILAC"/>
    <s v="Reimbursed"/>
    <s v="No"/>
  </r>
  <r>
    <n v="8"/>
    <s v="Feb2025"/>
    <s v="Thursday"/>
    <x v="35"/>
    <n v="1"/>
    <n v="10808803612"/>
    <x v="0"/>
    <s v="FBA"/>
    <s v="MAT"/>
    <s v="No"/>
  </r>
  <r>
    <n v="8"/>
    <s v="Feb2025"/>
    <s v="Thursday"/>
    <x v="35"/>
    <n v="2"/>
    <n v="10817018842"/>
    <x v="3"/>
    <s v="ILAC"/>
    <s v="Previous ASC has contacted carrier"/>
    <s v="No"/>
  </r>
  <r>
    <n v="8"/>
    <s v="Feb2025"/>
    <s v="Thursday"/>
    <x v="35"/>
    <n v="3"/>
    <n v="10826462102"/>
    <x v="3"/>
    <s v="FBA"/>
    <s v="Open TT"/>
    <s v="No"/>
  </r>
  <r>
    <n v="8"/>
    <s v="Feb2025"/>
    <s v="Thursday"/>
    <x v="35"/>
    <n v="4"/>
    <n v="10799393562"/>
    <x v="3"/>
    <s v="FBA"/>
    <s v="Open TT"/>
    <s v="Yes"/>
  </r>
  <r>
    <n v="8"/>
    <s v="Feb2025"/>
    <s v="Thursday"/>
    <x v="35"/>
    <n v="5"/>
    <n v="10827683482"/>
    <x v="0"/>
    <s v="ILAC"/>
    <s v="CN"/>
    <s v="No"/>
  </r>
  <r>
    <n v="8"/>
    <s v="Feb2025"/>
    <s v="Thursday"/>
    <x v="35"/>
    <n v="6"/>
    <n v="10816673532"/>
    <x v="2"/>
    <s v="ILAC"/>
    <s v="Reimbursed"/>
    <s v="No"/>
  </r>
  <r>
    <n v="8"/>
    <s v="Feb2025"/>
    <s v="Thursday"/>
    <x v="35"/>
    <n v="7"/>
    <n v="10835632042"/>
    <x v="2"/>
    <s v="FBA"/>
    <s v="Aged inventory report"/>
    <s v="Yes"/>
  </r>
  <r>
    <n v="8"/>
    <s v="Feb2025"/>
    <s v="Thursday"/>
    <x v="35"/>
    <n v="8"/>
    <n v="10816338442"/>
    <x v="0"/>
    <s v="FBA"/>
    <s v="Order invoice"/>
    <s v="No"/>
  </r>
  <r>
    <n v="8"/>
    <s v="Feb2025"/>
    <s v="Thursday"/>
    <x v="35"/>
    <n v="9"/>
    <n v="10821589502"/>
    <x v="2"/>
    <s v="MAT"/>
    <s v="Food and Product Safety "/>
    <s v="No"/>
  </r>
  <r>
    <n v="8"/>
    <s v="Feb2025"/>
    <s v="Thursday"/>
    <x v="35"/>
    <n v="10"/>
    <n v="10827232902"/>
    <x v="3"/>
    <s v="MAT"/>
    <s v="Open TT"/>
    <s v="No"/>
  </r>
  <r>
    <n v="8"/>
    <s v="Feb2025"/>
    <s v="Thursday"/>
    <x v="35"/>
    <n v="11"/>
    <n v="10834239842"/>
    <x v="2"/>
    <s v="MAT"/>
    <s v="Report a violation"/>
    <s v="No"/>
  </r>
  <r>
    <n v="8"/>
    <s v="Feb2025"/>
    <s v="Thursday"/>
    <x v="35"/>
    <n v="12"/>
    <n v="10836181502"/>
    <x v="1"/>
    <s v="FBA"/>
    <s v="Pick up issue"/>
    <s v="No"/>
  </r>
  <r>
    <n v="8"/>
    <s v="Feb2025"/>
    <s v="Thursday"/>
    <x v="35"/>
    <n v="13"/>
    <n v="10836219572"/>
    <x v="2"/>
    <s v="FBA"/>
    <s v="BIL"/>
    <s v="No"/>
  </r>
  <r>
    <n v="8"/>
    <s v="Feb2025"/>
    <s v="Thursday"/>
    <x v="35"/>
    <n v="14"/>
    <n v="10835474562"/>
    <x v="1"/>
    <s v="ILAC"/>
    <s v="Req info"/>
    <s v="Yes"/>
  </r>
  <r>
    <n v="8"/>
    <s v="Feb2025"/>
    <s v="Thursday"/>
    <x v="35"/>
    <n v="15"/>
    <n v="10836443212"/>
    <x v="2"/>
    <s v="MAT"/>
    <s v="VAT"/>
    <s v="No"/>
  </r>
  <r>
    <n v="8"/>
    <s v="Feb2025"/>
    <s v="Thursday"/>
    <x v="35"/>
    <n v="16"/>
    <n v="10830051672"/>
    <x v="2"/>
    <s v="FBA"/>
    <s v="Non returnable ASIN"/>
    <s v="Yes"/>
  </r>
  <r>
    <n v="8"/>
    <s v="Feb2025"/>
    <s v="Thursday"/>
    <x v="35"/>
    <n v="17"/>
    <n v="10829161932"/>
    <x v="3"/>
    <s v="FBA"/>
    <s v="Reopen req - shipment"/>
    <s v="Yes"/>
  </r>
  <r>
    <n v="8"/>
    <s v="Feb2025"/>
    <s v="Thursday"/>
    <x v="35"/>
    <n v="18"/>
    <n v="10836025212"/>
    <x v="2"/>
    <s v="FBA"/>
    <s v="Removal Order"/>
    <s v="No"/>
  </r>
  <r>
    <n v="8"/>
    <s v="Feb2025"/>
    <s v="Thursday"/>
    <x v="35"/>
    <n v="19"/>
    <n v="10802784902"/>
    <x v="2"/>
    <s v="FBA"/>
    <s v="Removal Order"/>
    <s v="No"/>
  </r>
  <r>
    <n v="8"/>
    <s v="Feb2025"/>
    <s v="Thursday"/>
    <x v="35"/>
    <n v="20"/>
    <n v="10835240982"/>
    <x v="1"/>
    <s v="FBA"/>
    <s v="LPN number"/>
    <s v="No"/>
  </r>
  <r>
    <n v="8"/>
    <s v="Feb2025"/>
    <s v="Thursday"/>
    <x v="35"/>
    <n v="21"/>
    <n v="10834255832"/>
    <x v="0"/>
    <s v="MAT"/>
    <s v="IIDP"/>
    <s v="Yes"/>
  </r>
  <r>
    <n v="8"/>
    <s v="Feb2025"/>
    <s v="Thursday"/>
    <x v="35"/>
    <n v="22"/>
    <n v="10836580162"/>
    <x v="2"/>
    <s v="MAT"/>
    <s v="Campaign"/>
    <s v="No"/>
  </r>
  <r>
    <n v="8"/>
    <s v="Feb2025"/>
    <s v="Thursday"/>
    <x v="35"/>
    <n v="23"/>
    <n v="10828506902"/>
    <x v="0"/>
    <s v="MAT"/>
    <s v="VAT"/>
    <s v="No"/>
  </r>
  <r>
    <n v="8"/>
    <s v="Feb2025"/>
    <s v="Friday"/>
    <x v="36"/>
    <n v="1"/>
    <n v="10816338442"/>
    <x v="0"/>
    <s v="FBA"/>
    <s v="VAT"/>
    <s v="No"/>
  </r>
  <r>
    <n v="8"/>
    <s v="Feb2025"/>
    <s v="Friday"/>
    <x v="36"/>
    <n v="2"/>
    <n v="10839033932"/>
    <x v="2"/>
    <s v="MAT"/>
    <s v="Account login issue"/>
    <s v="No"/>
  </r>
  <r>
    <n v="8"/>
    <s v="Feb2025"/>
    <s v="Friday"/>
    <x v="36"/>
    <n v="3"/>
    <n v="10840468132"/>
    <x v="2"/>
    <s v="FBA"/>
    <s v="Removal Order"/>
    <s v="No"/>
  </r>
  <r>
    <n v="8"/>
    <s v="Feb2025"/>
    <s v="Friday"/>
    <x v="36"/>
    <n v="4"/>
    <n v="10839900992"/>
    <x v="2"/>
    <s v="FBA"/>
    <s v="Receiving"/>
    <s v="No"/>
  </r>
  <r>
    <n v="8"/>
    <s v="Feb2025"/>
    <s v="Friday"/>
    <x v="36"/>
    <n v="5"/>
    <n v="10839785822"/>
    <x v="2"/>
    <s v="FBA"/>
    <s v="Damaged inventory"/>
    <s v="No"/>
  </r>
  <r>
    <n v="8"/>
    <s v="Feb2025"/>
    <s v="Friday"/>
    <x v="36"/>
    <n v="6"/>
    <n v="10803084372"/>
    <x v="1"/>
    <s v="ILAC"/>
    <s v="More time req"/>
    <s v="No"/>
  </r>
  <r>
    <n v="8"/>
    <s v="Feb2025"/>
    <s v="Friday"/>
    <x v="36"/>
    <n v="7"/>
    <n v="10840316692"/>
    <x v="2"/>
    <s v="FBA"/>
    <s v="Safe-T claim"/>
    <s v="No"/>
  </r>
  <r>
    <n v="8"/>
    <s v="Feb2025"/>
    <s v="Friday"/>
    <x v="36"/>
    <n v="8"/>
    <n v="10807121222"/>
    <x v="3"/>
    <s v="FBA"/>
    <s v="Open TT"/>
    <s v="No"/>
  </r>
  <r>
    <n v="8"/>
    <s v="Feb2025"/>
    <s v="Friday"/>
    <x v="36"/>
    <n v="9"/>
    <n v="10839677572"/>
    <x v="0"/>
    <s v="MAT"/>
    <s v="BR support"/>
    <s v="No"/>
  </r>
  <r>
    <n v="8"/>
    <s v="Feb2025"/>
    <s v="Friday"/>
    <x v="36"/>
    <n v="10"/>
    <n v="10838649382"/>
    <x v="0"/>
    <s v="ILAC"/>
    <s v="HV"/>
    <s v="No"/>
  </r>
  <r>
    <n v="8"/>
    <s v="Feb2025"/>
    <s v="Friday"/>
    <x v="36"/>
    <n v="11"/>
    <n v="10839766952"/>
    <x v="0"/>
    <s v="FBA"/>
    <s v="Carrier support"/>
    <s v="No"/>
  </r>
  <r>
    <n v="8"/>
    <s v="Feb2025"/>
    <s v="Friday"/>
    <x v="36"/>
    <n v="12"/>
    <n v="10817109342"/>
    <x v="0"/>
    <s v="ILAC"/>
    <s v="FBA"/>
    <s v="Yes"/>
  </r>
  <r>
    <n v="8"/>
    <s v="Feb2025"/>
    <s v="Friday"/>
    <x v="36"/>
    <n v="13"/>
    <n v="10730143422"/>
    <x v="3"/>
    <s v="FBA"/>
    <s v="Open TT"/>
    <s v="Yes"/>
  </r>
  <r>
    <n v="8"/>
    <s v="Feb2025"/>
    <s v="Friday"/>
    <x v="36"/>
    <n v="14"/>
    <n v="10655135682"/>
    <x v="3"/>
    <s v="FBA"/>
    <s v="Open TT"/>
    <s v="No"/>
  </r>
  <r>
    <n v="8"/>
    <s v="Feb2025"/>
    <s v="Friday"/>
    <x v="36"/>
    <n v="15"/>
    <n v="10752315112"/>
    <x v="3"/>
    <s v="FBA"/>
    <s v="Open TT"/>
    <s v="Yes"/>
  </r>
  <r>
    <n v="8"/>
    <s v="Feb2025"/>
    <s v="Friday"/>
    <x v="36"/>
    <n v="16"/>
    <n v="10768342522"/>
    <x v="2"/>
    <s v="MAT"/>
    <s v="Recall ASIN"/>
    <s v="No"/>
  </r>
  <r>
    <n v="8"/>
    <s v="Feb2025"/>
    <s v="Friday"/>
    <x v="36"/>
    <n v="17"/>
    <n v="10829030402"/>
    <x v="1"/>
    <s v="ILAC"/>
    <s v="Proof of Pick up "/>
    <s v="No"/>
  </r>
  <r>
    <n v="8"/>
    <s v="Feb2025"/>
    <s v="Friday"/>
    <x v="36"/>
    <n v="18"/>
    <n v="10789696872"/>
    <x v="2"/>
    <s v="ILAC"/>
    <s v="Item Ineligible"/>
    <s v="Yes"/>
  </r>
  <r>
    <n v="8"/>
    <s v="Feb2025"/>
    <s v="Friday"/>
    <x v="36"/>
    <n v="19"/>
    <n v="10811627712"/>
    <x v="3"/>
    <s v="MAT"/>
    <s v="Open TT"/>
    <s v="No"/>
  </r>
  <r>
    <n v="8"/>
    <s v="Feb2025"/>
    <s v="Friday"/>
    <x v="36"/>
    <n v="20"/>
    <n v="10840366612"/>
    <x v="2"/>
    <s v="MAT"/>
    <s v="Bank account"/>
    <s v="No"/>
  </r>
  <r>
    <n v="8"/>
    <s v="Feb2025"/>
    <s v="Friday"/>
    <x v="36"/>
    <n v="21"/>
    <n v="10493211082"/>
    <x v="3"/>
    <s v="FBA"/>
    <s v="Open TT"/>
    <s v="No"/>
  </r>
  <r>
    <n v="8"/>
    <s v="Feb2025"/>
    <s v="Friday"/>
    <x v="36"/>
    <n v="22"/>
    <n v="10840865382"/>
    <x v="0"/>
    <s v="FBA"/>
    <s v="MCF"/>
    <s v="No"/>
  </r>
  <r>
    <n v="8"/>
    <s v="Feb2025"/>
    <s v="Friday"/>
    <x v="36"/>
    <n v="23"/>
    <n v="10834600722"/>
    <x v="1"/>
    <s v="FBA"/>
    <s v="Query unclear"/>
    <s v="Yes"/>
  </r>
  <r>
    <n v="8"/>
    <s v="Feb2025"/>
    <s v="Friday"/>
    <x v="36"/>
    <n v="24"/>
    <n v="10841420622"/>
    <x v="0"/>
    <s v="ILAC"/>
    <s v="HV"/>
    <s v="No"/>
  </r>
  <r>
    <n v="8"/>
    <s v="Feb2025"/>
    <s v="Friday"/>
    <x v="36"/>
    <n v="25"/>
    <n v="10826951382"/>
    <x v="2"/>
    <s v="ILAC"/>
    <s v="Reimbursed"/>
    <s v="No"/>
  </r>
  <r>
    <n v="8"/>
    <s v="Feb2025"/>
    <s v="Friday"/>
    <x v="36"/>
    <n v="26"/>
    <n v="10826519832"/>
    <x v="2"/>
    <s v="FBA"/>
    <s v="WD"/>
    <s v="No"/>
  </r>
  <r>
    <n v="8"/>
    <s v="Feb2025"/>
    <s v="Friday"/>
    <x v="36"/>
    <n v="27"/>
    <n v="10841596382"/>
    <x v="2"/>
    <s v="ILAC"/>
    <s v="Item Ineligible"/>
    <s v="No"/>
  </r>
  <r>
    <n v="8"/>
    <s v="Feb2025"/>
    <s v="Saturday"/>
    <x v="37"/>
    <n v="1"/>
    <n v="10841751802"/>
    <x v="2"/>
    <s v="FBA"/>
    <s v="Lost inventory"/>
    <s v="Yes"/>
  </r>
  <r>
    <n v="8"/>
    <s v="Feb2025"/>
    <s v="Saturday"/>
    <x v="37"/>
    <n v="2"/>
    <n v="10830863582"/>
    <x v="2"/>
    <s v="ILAC"/>
    <s v="Reimbursed"/>
    <s v="Yes"/>
  </r>
  <r>
    <n v="8"/>
    <s v="Feb2025"/>
    <s v="Saturday"/>
    <x v="37"/>
    <n v="3"/>
    <n v="9190671622"/>
    <x v="2"/>
    <s v="FBA"/>
    <s v="Inactive listing"/>
    <s v="Yes"/>
  </r>
  <r>
    <n v="8"/>
    <s v="Feb2025"/>
    <s v="Saturday"/>
    <x v="37"/>
    <n v="4"/>
    <n v="10631416632"/>
    <x v="3"/>
    <s v="MAT"/>
    <s v="Open TT"/>
    <s v="Yes"/>
  </r>
  <r>
    <n v="8"/>
    <s v="Feb2025"/>
    <s v="Saturday"/>
    <x v="37"/>
    <n v="5"/>
    <n v="10240693892"/>
    <x v="3"/>
    <s v="FBA"/>
    <s v="Open TT"/>
    <s v="No"/>
  </r>
  <r>
    <n v="8"/>
    <s v="Feb2025"/>
    <s v="Saturday"/>
    <x v="37"/>
    <n v="6"/>
    <n v="10799670002"/>
    <x v="2"/>
    <s v="ILAC"/>
    <s v="Reimbursed"/>
    <s v="No"/>
  </r>
  <r>
    <n v="8"/>
    <s v="Feb2025"/>
    <s v="Saturday"/>
    <x v="37"/>
    <n v="7"/>
    <n v="10802890992"/>
    <x v="2"/>
    <s v="FBA"/>
    <s v="Lost inventory"/>
    <s v="No"/>
  </r>
  <r>
    <n v="8"/>
    <s v="Feb2025"/>
    <s v="Saturday"/>
    <x v="37"/>
    <n v="8"/>
    <n v="10813406102"/>
    <x v="2"/>
    <s v="ILAC"/>
    <s v="Reimbursed"/>
    <s v="Yes"/>
  </r>
  <r>
    <n v="8"/>
    <s v="Feb2025"/>
    <s v="Saturday"/>
    <x v="37"/>
    <n v="9"/>
    <n v="10843965022"/>
    <x v="2"/>
    <s v="FBA"/>
    <s v="ASIN remap"/>
    <s v="No"/>
  </r>
  <r>
    <n v="8"/>
    <s v="Feb2025"/>
    <s v="Saturday"/>
    <x v="37"/>
    <n v="10"/>
    <n v="10844399842"/>
    <x v="1"/>
    <s v="FBA"/>
    <s v="Removal Order"/>
    <s v="No"/>
  </r>
  <r>
    <n v="8"/>
    <s v="Feb2025"/>
    <s v="Saturday"/>
    <x v="37"/>
    <n v="11"/>
    <n v="10844535862"/>
    <x v="0"/>
    <s v="FBA"/>
    <s v="BR support"/>
    <s v="No"/>
  </r>
  <r>
    <n v="8"/>
    <s v="Feb2025"/>
    <s v="Saturday"/>
    <x v="37"/>
    <n v="12"/>
    <n v="10830780082"/>
    <x v="2"/>
    <s v="ILAC"/>
    <s v="Reimbursed"/>
    <s v="No"/>
  </r>
  <r>
    <n v="8"/>
    <s v="Feb2025"/>
    <s v="Saturday"/>
    <x v="37"/>
    <n v="13"/>
    <n v="10844399842"/>
    <x v="0"/>
    <s v="FBA"/>
    <s v="FFT"/>
    <s v="No"/>
  </r>
  <r>
    <n v="8"/>
    <s v="Feb2025"/>
    <s v="Saturday"/>
    <x v="37"/>
    <n v="14"/>
    <n v="10845772412"/>
    <x v="1"/>
    <s v="FBA"/>
    <s v="Removal Order"/>
    <s v="No"/>
  </r>
  <r>
    <n v="8"/>
    <s v="Feb2025"/>
    <s v="Saturday"/>
    <x v="37"/>
    <n v="15"/>
    <n v="10821334992"/>
    <x v="2"/>
    <s v="ILAC"/>
    <s v="Adjusted"/>
    <s v="No"/>
  </r>
  <r>
    <n v="8"/>
    <s v="Feb2025"/>
    <s v="Saturday"/>
    <x v="37"/>
    <n v="16"/>
    <n v="10828517092"/>
    <x v="2"/>
    <s v="ILAC"/>
    <s v="Reimbursed"/>
    <s v="No"/>
  </r>
  <r>
    <n v="8"/>
    <s v="Feb2025"/>
    <s v="Saturday"/>
    <x v="37"/>
    <n v="17"/>
    <n v="10844542642"/>
    <x v="0"/>
    <s v="MAT"/>
    <s v="Amazon Renewed AE queue : sesu-ae-mat-ecm-reg-std-eng-crf@amazon.ae"/>
    <s v="Yes"/>
  </r>
  <r>
    <n v="8"/>
    <s v="Feb2025"/>
    <s v="Saturday"/>
    <x v="37"/>
    <n v="18"/>
    <n v="10830903792"/>
    <x v="2"/>
    <s v="ILAC"/>
    <s v="WD"/>
    <s v="No"/>
  </r>
  <r>
    <n v="8"/>
    <s v="Feb2025"/>
    <s v="Saturday"/>
    <x v="37"/>
    <n v="19"/>
    <n v="10830249102"/>
    <x v="3"/>
    <s v="FBA"/>
    <s v="Expired inventory"/>
    <s v="No"/>
  </r>
  <r>
    <n v="8"/>
    <s v="Feb2025"/>
    <s v="Saturday"/>
    <x v="37"/>
    <n v="20"/>
    <n v="10845554982"/>
    <x v="3"/>
    <s v="FBA"/>
    <s v="Deals"/>
    <s v="Yes"/>
  </r>
  <r>
    <n v="8"/>
    <s v="Feb2025"/>
    <s v="Saturday"/>
    <x v="37"/>
    <n v="21"/>
    <n v="10816020692"/>
    <x v="1"/>
    <s v="ILAC"/>
    <s v="Invoice"/>
    <s v="No"/>
  </r>
  <r>
    <n v="8"/>
    <s v="Feb2025"/>
    <s v="Saturday"/>
    <x v="37"/>
    <n v="22"/>
    <n v="10845830652"/>
    <x v="2"/>
    <s v="FBA"/>
    <s v="Disbursement"/>
    <s v="No"/>
  </r>
  <r>
    <n v="8"/>
    <s v="Feb2025"/>
    <s v="Saturday"/>
    <x v="37"/>
    <n v="23"/>
    <n v="10845876102"/>
    <x v="2"/>
    <s v="FBA"/>
    <s v="Missed pickup"/>
    <s v="Yes"/>
  </r>
  <r>
    <n v="8"/>
    <s v="Feb2025"/>
    <s v="Saturday"/>
    <x v="37"/>
    <n v="24"/>
    <n v="10845291312"/>
    <x v="0"/>
    <s v="MAT"/>
    <s v="IIDP"/>
    <s v="No"/>
  </r>
  <r>
    <n v="8"/>
    <s v="Feb2025"/>
    <s v="Saturday"/>
    <x v="37"/>
    <n v="25"/>
    <n v="10844210852"/>
    <x v="2"/>
    <s v="MAT"/>
    <s v="Generate a report"/>
    <s v="Yes"/>
  </r>
  <r>
    <n v="8"/>
    <s v="Feb2025"/>
    <s v="Saturday"/>
    <x v="37"/>
    <n v="26"/>
    <n v="10844582502"/>
    <x v="2"/>
    <s v="MAT"/>
    <s v="Bank account"/>
    <s v="Yes"/>
  </r>
  <r>
    <n v="8"/>
    <s v="Feb2025"/>
    <s v="Saturday"/>
    <x v="37"/>
    <n v="27"/>
    <n v="10672229412"/>
    <x v="3"/>
    <s v="FBA"/>
    <s v="Open TT"/>
    <s v="No"/>
  </r>
  <r>
    <n v="8"/>
    <s v="Feb2025"/>
    <s v="Saturday"/>
    <x v="37"/>
    <n v="28"/>
    <n v="10845398992"/>
    <x v="2"/>
    <s v="MAT"/>
    <s v="Account deactivated"/>
    <s v="No"/>
  </r>
  <r>
    <n v="8"/>
    <s v="Feb2025"/>
    <s v="Saturday"/>
    <x v="37"/>
    <n v="29"/>
    <n v="10817749872"/>
    <x v="3"/>
    <s v="FBA"/>
    <s v="Open TT"/>
    <s v="Yes"/>
  </r>
  <r>
    <n v="9"/>
    <s v="Feb2025"/>
    <s v="Tuesday"/>
    <x v="38"/>
    <n v="1"/>
    <n v="10850501762"/>
    <x v="2"/>
    <s v="FBA"/>
    <s v="Lost inventory"/>
    <s v="No"/>
  </r>
  <r>
    <n v="9"/>
    <s v="Feb2025"/>
    <s v="Tuesday"/>
    <x v="38"/>
    <n v="2"/>
    <n v="10850270592"/>
    <x v="2"/>
    <s v="FBA"/>
    <s v="Lost inventory"/>
    <s v="No"/>
  </r>
  <r>
    <n v="9"/>
    <s v="Feb2025"/>
    <s v="Tuesday"/>
    <x v="38"/>
    <n v="3"/>
    <n v="10830351932"/>
    <x v="3"/>
    <s v="FBA"/>
    <s v="WD"/>
    <s v="Yes"/>
  </r>
  <r>
    <n v="9"/>
    <s v="Feb2025"/>
    <s v="Tuesday"/>
    <x v="38"/>
    <n v="4"/>
    <n v="10850895572"/>
    <x v="2"/>
    <s v="MAT"/>
    <s v="Selling application rejected reason"/>
    <s v="No"/>
  </r>
  <r>
    <n v="9"/>
    <s v="Feb2025"/>
    <s v="Tuesday"/>
    <x v="38"/>
    <n v="5"/>
    <n v="10811672872"/>
    <x v="1"/>
    <s v="ILAC"/>
    <s v="More time req"/>
    <s v="Yes"/>
  </r>
  <r>
    <n v="9"/>
    <s v="Feb2025"/>
    <s v="Tuesday"/>
    <x v="38"/>
    <n v="6"/>
    <n v="10851150342"/>
    <x v="2"/>
    <s v="MAT"/>
    <s v="Feedback removal req"/>
    <s v="Yes"/>
  </r>
  <r>
    <n v="9"/>
    <s v="Feb2025"/>
    <s v="Tuesday"/>
    <x v="38"/>
    <n v="7"/>
    <n v="10851278762"/>
    <x v="0"/>
    <s v="MAT"/>
    <s v="SA"/>
    <s v="No"/>
  </r>
  <r>
    <n v="9"/>
    <s v="Feb2025"/>
    <s v="Tuesday"/>
    <x v="38"/>
    <n v="8"/>
    <n v="10851211502"/>
    <x v="3"/>
    <s v="FBA"/>
    <s v="Ramadan Deal"/>
    <s v="Yes"/>
  </r>
  <r>
    <n v="9"/>
    <s v="Feb2025"/>
    <s v="Tuesday"/>
    <x v="38"/>
    <n v="9"/>
    <n v="10084746772"/>
    <x v="3"/>
    <s v="FBA"/>
    <s v="Open TT"/>
    <s v="No"/>
  </r>
  <r>
    <n v="9"/>
    <s v="Feb2025"/>
    <s v="Tuesday"/>
    <x v="38"/>
    <n v="10"/>
    <n v="10851792142"/>
    <x v="2"/>
    <s v="MAT"/>
    <s v="Generate a report"/>
    <s v="No"/>
  </r>
  <r>
    <n v="9"/>
    <s v="Feb2025"/>
    <s v="Tuesday"/>
    <x v="38"/>
    <n v="11"/>
    <n v="10850406192"/>
    <x v="2"/>
    <s v="ILAC"/>
    <s v="Item Ineligible"/>
    <s v="No"/>
  </r>
  <r>
    <n v="9"/>
    <s v="Feb2025"/>
    <s v="Tuesday"/>
    <x v="38"/>
    <n v="12"/>
    <n v="10852397942"/>
    <x v="0"/>
    <s v="MAT"/>
    <s v="Arabic support"/>
    <s v="Yes"/>
  </r>
  <r>
    <n v="9"/>
    <s v="Feb2025"/>
    <s v="Tuesday"/>
    <x v="38"/>
    <n v="13"/>
    <n v="10852150242"/>
    <x v="2"/>
    <s v="FBA"/>
    <s v="Removal Order"/>
    <s v="Yes"/>
  </r>
  <r>
    <n v="9"/>
    <s v="Feb2025"/>
    <s v="Tuesday"/>
    <x v="38"/>
    <n v="14"/>
    <n v="10847941362"/>
    <x v="0"/>
    <s v="ILAC"/>
    <s v="FBA"/>
    <s v="No"/>
  </r>
  <r>
    <n v="9"/>
    <s v="Feb2025"/>
    <s v="Tuesday"/>
    <x v="38"/>
    <n v="15"/>
    <n v="10821818742"/>
    <x v="3"/>
    <s v="FBA"/>
    <s v="Open TT"/>
    <s v="No"/>
  </r>
  <r>
    <n v="9"/>
    <s v="Feb2025"/>
    <s v="Tuesday"/>
    <x v="38"/>
    <n v="16"/>
    <n v="10851654222"/>
    <x v="1"/>
    <s v="ILAC"/>
    <s v="Invoice"/>
    <s v="No"/>
  </r>
  <r>
    <n v="9"/>
    <s v="Feb2025"/>
    <s v="Tuesday"/>
    <x v="38"/>
    <n v="17"/>
    <n v="10828977422"/>
    <x v="2"/>
    <s v="ILAC"/>
    <s v="WD"/>
    <s v="No"/>
  </r>
  <r>
    <n v="9"/>
    <s v="Feb2025"/>
    <s v="Tuesday"/>
    <x v="38"/>
    <n v="18"/>
    <n v="10836760362"/>
    <x v="2"/>
    <s v="ILAC"/>
    <s v="Reimbursed"/>
    <s v="No"/>
  </r>
  <r>
    <n v="9"/>
    <s v="Feb2025"/>
    <s v="Tuesday"/>
    <x v="38"/>
    <n v="19"/>
    <n v="10826343652"/>
    <x v="2"/>
    <s v="ILAC"/>
    <s v="Item Ineligible"/>
    <s v="No"/>
  </r>
  <r>
    <n v="9"/>
    <s v="Feb2025"/>
    <s v="Tuesday"/>
    <x v="38"/>
    <n v="20"/>
    <n v="10850275652"/>
    <x v="0"/>
    <s v="ILAC"/>
    <s v="HV"/>
    <s v="No"/>
  </r>
  <r>
    <n v="9"/>
    <s v="Feb2025"/>
    <s v="Tuesday"/>
    <x v="38"/>
    <n v="21"/>
    <n v="10839101272"/>
    <x v="1"/>
    <s v="FBA"/>
    <s v="Informed as per TT"/>
    <s v="No"/>
  </r>
  <r>
    <n v="9"/>
    <s v="Feb2025"/>
    <s v="Tuesday"/>
    <x v="38"/>
    <n v="22"/>
    <n v="10852465162"/>
    <x v="2"/>
    <s v="FBA"/>
    <s v="Orders"/>
    <s v="No"/>
  </r>
  <r>
    <n v="9"/>
    <s v="Feb2025"/>
    <s v="Tuesday"/>
    <x v="38"/>
    <n v="23"/>
    <n v="10852978582"/>
    <x v="3"/>
    <s v="FBA"/>
    <s v="Open TT"/>
    <s v="No"/>
  </r>
  <r>
    <n v="9"/>
    <s v="Feb2025"/>
    <s v="Tuesday"/>
    <x v="38"/>
    <n v="24"/>
    <n v="10846492982"/>
    <x v="3"/>
    <s v="FBA"/>
    <s v="Open TT"/>
    <s v="No"/>
  </r>
  <r>
    <n v="9"/>
    <s v="Feb2025"/>
    <s v="Tuesday"/>
    <x v="38"/>
    <n v="25"/>
    <n v="10853088512"/>
    <x v="2"/>
    <s v="FBA"/>
    <s v="Merged case"/>
    <s v="No"/>
  </r>
  <r>
    <n v="9"/>
    <s v="Feb2025"/>
    <s v="Tuesday"/>
    <x v="38"/>
    <n v="26"/>
    <n v="10689614462"/>
    <x v="3"/>
    <s v="FBA"/>
    <s v="Open TT"/>
    <s v="No"/>
  </r>
  <r>
    <n v="9"/>
    <s v="Feb2025"/>
    <s v="Tuesday"/>
    <x v="38"/>
    <n v="27"/>
    <n v="10852515482"/>
    <x v="2"/>
    <s v="MAT"/>
    <s v="SP issue fixed while on chat"/>
    <s v="Yes"/>
  </r>
  <r>
    <n v="9"/>
    <s v="Feb2025"/>
    <s v="Tuesday"/>
    <x v="38"/>
    <n v="28"/>
    <n v="10852486332"/>
    <x v="0"/>
    <s v="FBA"/>
    <s v="Transferred to correct MP"/>
    <s v="No"/>
  </r>
  <r>
    <n v="9"/>
    <s v="Feb2025"/>
    <s v="Tuesday"/>
    <x v="38"/>
    <n v="29"/>
    <n v="10852978582"/>
    <x v="2"/>
    <s v="FBA"/>
    <s v="PO flip"/>
    <s v="No"/>
  </r>
  <r>
    <n v="9"/>
    <s v="Feb2025"/>
    <s v="Wednesday"/>
    <x v="39"/>
    <n v="1"/>
    <n v="10790297742"/>
    <x v="1"/>
    <s v="FBA"/>
    <s v="WD"/>
    <s v="No"/>
  </r>
  <r>
    <n v="9"/>
    <s v="Feb2025"/>
    <s v="Wednesday"/>
    <x v="39"/>
    <n v="2"/>
    <n v="10853659492"/>
    <x v="2"/>
    <s v="FBA"/>
    <s v="Removal Order"/>
    <s v="Yes"/>
  </r>
  <r>
    <n v="9"/>
    <s v="Feb2025"/>
    <s v="Wednesday"/>
    <x v="39"/>
    <n v="3"/>
    <n v="10839296552"/>
    <x v="2"/>
    <s v="FBA"/>
    <s v="Reserved inventory"/>
    <s v="No"/>
  </r>
  <r>
    <n v="9"/>
    <s v="Feb2025"/>
    <s v="Wednesday"/>
    <x v="39"/>
    <n v="4"/>
    <n v="10857904742"/>
    <x v="2"/>
    <s v="MAT"/>
    <s v="Product review"/>
    <s v="Yes"/>
  </r>
  <r>
    <n v="9"/>
    <s v="Feb2025"/>
    <s v="Wednesday"/>
    <x v="39"/>
    <n v="5"/>
    <n v="10858270772"/>
    <x v="0"/>
    <s v="MAT"/>
    <s v="IIDP"/>
    <s v="No"/>
  </r>
  <r>
    <n v="9"/>
    <s v="Feb2025"/>
    <s v="Wednesday"/>
    <x v="39"/>
    <n v="6"/>
    <n v="10859095242"/>
    <x v="2"/>
    <s v="FBA"/>
    <s v="Feedback removal req"/>
    <s v="Yes"/>
  </r>
  <r>
    <n v="9"/>
    <s v="Feb2025"/>
    <s v="Wednesday"/>
    <x v="39"/>
    <n v="7"/>
    <n v="10857549012"/>
    <x v="0"/>
    <s v="MAT"/>
    <s v="Arabic support"/>
    <s v="No"/>
  </r>
  <r>
    <n v="9"/>
    <s v="Feb2025"/>
    <s v="Wednesday"/>
    <x v="39"/>
    <n v="8"/>
    <n v="10570036152"/>
    <x v="3"/>
    <s v="FBA"/>
    <s v="WD"/>
    <s v="No"/>
  </r>
  <r>
    <n v="9"/>
    <s v="Feb2025"/>
    <s v="Wednesday"/>
    <x v="39"/>
    <n v="9"/>
    <n v="10757948342"/>
    <x v="3"/>
    <s v="MAT"/>
    <s v="Open TT"/>
    <s v="No"/>
  </r>
  <r>
    <n v="9"/>
    <s v="Feb2025"/>
    <s v="Wednesday"/>
    <x v="39"/>
    <n v="10"/>
    <n v="10858821752"/>
    <x v="2"/>
    <s v="MAT"/>
    <s v="Order invoice"/>
    <s v="No"/>
  </r>
  <r>
    <n v="9"/>
    <s v="Feb2025"/>
    <s v="Wednesday"/>
    <x v="39"/>
    <n v="11"/>
    <n v="10859067882"/>
    <x v="0"/>
    <s v="MAT"/>
    <s v="IIDP"/>
    <s v="No"/>
  </r>
  <r>
    <n v="9"/>
    <s v="Feb2025"/>
    <s v="Wednesday"/>
    <x v="39"/>
    <n v="12"/>
    <n v="10856929572"/>
    <x v="4"/>
    <s v="MAT"/>
    <s v="E8541"/>
    <s v="No"/>
  </r>
  <r>
    <n v="9"/>
    <s v="Feb2025"/>
    <s v="Wednesday"/>
    <x v="39"/>
    <n v="13"/>
    <n v="10551683852"/>
    <x v="3"/>
    <s v="FBA"/>
    <s v="Open TT"/>
    <s v="No"/>
  </r>
  <r>
    <n v="9"/>
    <s v="Feb2025"/>
    <s v="Wednesday"/>
    <x v="39"/>
    <n v="14"/>
    <n v="10852216722"/>
    <x v="2"/>
    <s v="MAT"/>
    <s v="Informed as per TT"/>
    <s v="No"/>
  </r>
  <r>
    <n v="9"/>
    <s v="Feb2025"/>
    <s v="Wednesday"/>
    <x v="39"/>
    <n v="15"/>
    <n v="10856802262"/>
    <x v="2"/>
    <s v="FBA"/>
    <s v="Removal Order"/>
    <s v="Yes"/>
  </r>
  <r>
    <n v="9"/>
    <s v="Feb2025"/>
    <s v="Wednesday"/>
    <x v="39"/>
    <n v="16"/>
    <n v="10852936422"/>
    <x v="2"/>
    <s v="FBA"/>
    <s v="Non returnable ASIN"/>
    <s v="No"/>
  </r>
  <r>
    <n v="9"/>
    <s v="Feb2025"/>
    <s v="Wednesday"/>
    <x v="39"/>
    <n v="17"/>
    <n v="10857575152"/>
    <x v="0"/>
    <s v="ILAC"/>
    <s v="FBA"/>
    <s v="No"/>
  </r>
  <r>
    <n v="9"/>
    <s v="Feb2025"/>
    <s v="Wednesday"/>
    <x v="39"/>
    <n v="18"/>
    <n v="10858342592"/>
    <x v="2"/>
    <s v="FBA"/>
    <s v="Safe-T claim"/>
    <s v="No"/>
  </r>
  <r>
    <n v="9"/>
    <s v="Feb2025"/>
    <s v="Wednesday"/>
    <x v="39"/>
    <n v="19"/>
    <n v="10821456262"/>
    <x v="2"/>
    <s v="ILAC"/>
    <s v="Reimbursed"/>
    <s v="Yes"/>
  </r>
  <r>
    <n v="9"/>
    <s v="Feb2025"/>
    <s v="Wednesday"/>
    <x v="39"/>
    <n v="20"/>
    <n v="10805909612"/>
    <x v="2"/>
    <s v="ILAC"/>
    <s v="Reimbursed"/>
    <s v="Yes"/>
  </r>
  <r>
    <n v="9"/>
    <s v="Feb2025"/>
    <s v="Wednesday"/>
    <x v="39"/>
    <n v="21"/>
    <n v="10752315112"/>
    <x v="3"/>
    <s v="MAT"/>
    <s v="Open TT"/>
    <s v="Yes"/>
  </r>
  <r>
    <n v="9"/>
    <s v="Feb2025"/>
    <s v="Wednesday"/>
    <x v="39"/>
    <n v="22"/>
    <n v="10454337522"/>
    <x v="1"/>
    <s v="MAT"/>
    <s v="Informed as per TT"/>
    <s v="No"/>
  </r>
  <r>
    <n v="9"/>
    <s v="Feb2025"/>
    <s v="Wednesday"/>
    <x v="39"/>
    <n v="23"/>
    <n v="10846593522"/>
    <x v="2"/>
    <s v="MAT"/>
    <s v="Disbursement"/>
    <s v="No"/>
  </r>
  <r>
    <n v="9"/>
    <s v="Feb2025"/>
    <s v="Wednesday"/>
    <x v="39"/>
    <n v="24"/>
    <n v="10858766092"/>
    <x v="3"/>
    <s v="FBA"/>
    <s v="Amazon pickup service"/>
    <s v="Yes"/>
  </r>
  <r>
    <n v="9"/>
    <s v="Feb2025"/>
    <s v="Wednesday"/>
    <x v="39"/>
    <n v="25"/>
    <n v="10852936422"/>
    <x v="2"/>
    <s v="FBA"/>
    <s v="Non returnable ASIN"/>
    <s v="No"/>
  </r>
  <r>
    <n v="9"/>
    <s v="Feb2025"/>
    <s v="Wednesday"/>
    <x v="39"/>
    <n v="26"/>
    <n v="10849461332"/>
    <x v="2"/>
    <s v="ILAC"/>
    <s v="Item Ineligible"/>
    <s v="Yes"/>
  </r>
  <r>
    <n v="9"/>
    <s v="Feb2025"/>
    <s v="Wednesday"/>
    <x v="39"/>
    <n v="27"/>
    <n v="10767768372"/>
    <x v="3"/>
    <s v="FBA"/>
    <s v="Open TT"/>
    <s v="No"/>
  </r>
  <r>
    <n v="9"/>
    <s v="Feb2025"/>
    <s v="Wednesday"/>
    <x v="39"/>
    <n v="28"/>
    <n v="10859700132"/>
    <x v="2"/>
    <s v="ILAC"/>
    <s v="Reimbursed"/>
    <s v="Yes"/>
  </r>
  <r>
    <n v="9"/>
    <s v="Feb2025"/>
    <s v="Wednesday"/>
    <x v="39"/>
    <n v="29"/>
    <n v="10858599122"/>
    <x v="2"/>
    <s v="FBA"/>
    <s v="Easyship "/>
    <s v="No"/>
  </r>
  <r>
    <n v="9"/>
    <s v="Feb2025"/>
    <s v="Thursday"/>
    <x v="40"/>
    <n v="1"/>
    <n v="10827518102"/>
    <x v="2"/>
    <s v="ILAC"/>
    <s v="Reimbursed"/>
    <s v="Yes"/>
  </r>
  <r>
    <n v="9"/>
    <s v="Feb2025"/>
    <s v="Thursday"/>
    <x v="40"/>
    <n v="2"/>
    <n v="10812911452"/>
    <x v="3"/>
    <s v="FBA"/>
    <s v="Stranded inventory"/>
    <s v="No"/>
  </r>
  <r>
    <n v="9"/>
    <s v="Feb2025"/>
    <s v="Thursday"/>
    <x v="40"/>
    <n v="3"/>
    <n v="10861178122"/>
    <x v="2"/>
    <s v="MAT"/>
    <s v="Account deactivated"/>
    <s v="Yes"/>
  </r>
  <r>
    <n v="9"/>
    <s v="Feb2025"/>
    <s v="Thursday"/>
    <x v="40"/>
    <n v="4"/>
    <n v="10861173502"/>
    <x v="2"/>
    <s v="FBA"/>
    <s v="Removal Order"/>
    <s v="No"/>
  </r>
  <r>
    <n v="9"/>
    <s v="Feb2025"/>
    <s v="Thursday"/>
    <x v="40"/>
    <n v="5"/>
    <n v="10825506002"/>
    <x v="4"/>
    <s v="ILAC"/>
    <s v="Chat disconnected"/>
    <s v="Yes"/>
  </r>
  <r>
    <n v="9"/>
    <s v="Feb2025"/>
    <s v="Thursday"/>
    <x v="40"/>
    <n v="6"/>
    <n v="10804973762"/>
    <x v="3"/>
    <s v="FBA"/>
    <s v="Open TT"/>
    <s v="Yes"/>
  </r>
  <r>
    <n v="9"/>
    <s v="Feb2025"/>
    <s v="Thursday"/>
    <x v="40"/>
    <n v="7"/>
    <n v="10858766092"/>
    <x v="2"/>
    <s v="FBA"/>
    <s v="Missed pickup"/>
    <s v="No"/>
  </r>
  <r>
    <n v="9"/>
    <s v="Feb2025"/>
    <s v="Thursday"/>
    <x v="40"/>
    <n v="8"/>
    <n v="10857123742"/>
    <x v="2"/>
    <s v="FBA"/>
    <s v="Pan european program"/>
    <s v="No"/>
  </r>
  <r>
    <n v="9"/>
    <s v="Feb2025"/>
    <s v="Thursday"/>
    <x v="40"/>
    <n v="9"/>
    <n v="10825931592"/>
    <x v="0"/>
    <s v="ILAC"/>
    <s v="MP DE"/>
    <s v="Yes"/>
  </r>
  <r>
    <n v="9"/>
    <s v="Feb2025"/>
    <s v="Thursday"/>
    <x v="40"/>
    <n v="10"/>
    <n v="10790791742"/>
    <x v="3"/>
    <s v="FBA"/>
    <s v="Open TT"/>
    <s v="Yes"/>
  </r>
  <r>
    <n v="9"/>
    <s v="Feb2025"/>
    <s v="Thursday"/>
    <x v="40"/>
    <n v="11"/>
    <n v="10861215552"/>
    <x v="2"/>
    <s v="FBA"/>
    <s v="Convert listing in bulk"/>
    <s v="No"/>
  </r>
  <r>
    <n v="9"/>
    <s v="Feb2025"/>
    <s v="Thursday"/>
    <x v="40"/>
    <n v="12"/>
    <n v="10103993222"/>
    <x v="3"/>
    <s v="FBA"/>
    <s v="Open TT"/>
    <s v="No"/>
  </r>
  <r>
    <n v="9"/>
    <s v="Feb2025"/>
    <s v="Thursday"/>
    <x v="40"/>
    <n v="13"/>
    <n v="10861596382"/>
    <x v="3"/>
    <s v="FBA"/>
    <s v="Open TT"/>
    <s v="No"/>
  </r>
  <r>
    <n v="9"/>
    <s v="Feb2025"/>
    <s v="Thursday"/>
    <x v="40"/>
    <n v="14"/>
    <n v="10859352772"/>
    <x v="2"/>
    <s v="ILAC"/>
    <s v="Contents tab"/>
    <s v="Yes"/>
  </r>
  <r>
    <n v="9"/>
    <s v="Feb2025"/>
    <s v="Thursday"/>
    <x v="40"/>
    <n v="15"/>
    <n v="10862886852"/>
    <x v="2"/>
    <s v="FBA"/>
    <s v="Orders"/>
    <s v="No"/>
  </r>
  <r>
    <n v="9"/>
    <s v="Feb2025"/>
    <s v="Thursday"/>
    <x v="40"/>
    <n v="16"/>
    <n v="10827620252"/>
    <x v="1"/>
    <s v="ILAC"/>
    <s v="Req info"/>
    <s v="No"/>
  </r>
  <r>
    <n v="9"/>
    <s v="Feb2025"/>
    <s v="Thursday"/>
    <x v="40"/>
    <n v="17"/>
    <n v="10863015742"/>
    <x v="2"/>
    <s v="FBA"/>
    <s v="Customer return"/>
    <s v="No"/>
  </r>
  <r>
    <n v="9"/>
    <s v="Feb2025"/>
    <s v="Thursday"/>
    <x v="40"/>
    <n v="18"/>
    <n v="10766788132"/>
    <x v="3"/>
    <s v="FBA"/>
    <s v="Open TT"/>
    <s v="Yes"/>
  </r>
  <r>
    <n v="9"/>
    <s v="Feb2025"/>
    <s v="Thursday"/>
    <x v="40"/>
    <n v="19"/>
    <n v="10862544322"/>
    <x v="2"/>
    <s v="MAT"/>
    <s v="A+ content"/>
    <s v="Yes"/>
  </r>
  <r>
    <n v="9"/>
    <s v="Feb2025"/>
    <s v="Thursday"/>
    <x v="40"/>
    <n v="20"/>
    <n v="10847353372"/>
    <x v="3"/>
    <s v="FBA"/>
    <s v="WD"/>
    <s v="No"/>
  </r>
  <r>
    <n v="9"/>
    <s v="Feb2025"/>
    <s v="Thursday"/>
    <x v="40"/>
    <n v="21"/>
    <n v="10861663602"/>
    <x v="2"/>
    <s v="FBA"/>
    <s v="Damaged inventory"/>
    <s v="No"/>
  </r>
  <r>
    <n v="9"/>
    <s v="Feb2025"/>
    <s v="Thursday"/>
    <x v="40"/>
    <n v="22"/>
    <n v="10852936422"/>
    <x v="0"/>
    <s v="FBA"/>
    <s v="FFTD"/>
    <s v="No"/>
  </r>
  <r>
    <n v="9"/>
    <s v="Feb2025"/>
    <s v="Thursday"/>
    <x v="40"/>
    <n v="23"/>
    <n v="10859352772"/>
    <x v="2"/>
    <s v="ILAC"/>
    <s v="Merged case"/>
    <s v="No"/>
  </r>
  <r>
    <n v="9"/>
    <s v="Feb2025"/>
    <s v="Thursday"/>
    <x v="40"/>
    <n v="24"/>
    <n v="10863401852"/>
    <x v="4"/>
    <s v="FBA"/>
    <s v="Receiving"/>
    <s v="No"/>
  </r>
  <r>
    <n v="9"/>
    <s v="Feb2025"/>
    <s v="Thursday"/>
    <x v="40"/>
    <n v="25"/>
    <n v="10861360112"/>
    <x v="2"/>
    <s v="FBA"/>
    <s v="Merged case"/>
    <s v="No"/>
  </r>
  <r>
    <n v="9"/>
    <s v="Feb2025"/>
    <s v="Thursday"/>
    <x v="40"/>
    <n v="26"/>
    <n v="10862855252"/>
    <x v="2"/>
    <s v="FBA"/>
    <s v="Receiving"/>
    <s v="Yes"/>
  </r>
  <r>
    <n v="9"/>
    <s v="Feb2025"/>
    <s v="Thursday"/>
    <x v="40"/>
    <n v="27"/>
    <n v="10863013962"/>
    <x v="2"/>
    <s v="ILAC"/>
    <s v="Receiving"/>
    <s v="No"/>
  </r>
  <r>
    <n v="9"/>
    <s v="Feb2025"/>
    <s v="Thursday"/>
    <x v="40"/>
    <n v="28"/>
    <n v="10863175752"/>
    <x v="0"/>
    <s v="ILAC"/>
    <s v="Reopen req - shipment"/>
    <s v="No"/>
  </r>
  <r>
    <n v="9"/>
    <s v="Feb2025"/>
    <s v="Thursday"/>
    <x v="40"/>
    <n v="29"/>
    <n v="10846126622"/>
    <x v="3"/>
    <s v="FBA"/>
    <s v="WD"/>
    <s v="Yes"/>
  </r>
  <r>
    <n v="9"/>
    <s v="Feb2025"/>
    <s v="Friday"/>
    <x v="41"/>
    <n v="1"/>
    <n v="10849063542"/>
    <x v="2"/>
    <s v="ILAC"/>
    <s v="Reimbursed"/>
    <s v="No"/>
  </r>
  <r>
    <n v="9"/>
    <s v="Feb2025"/>
    <s v="Friday"/>
    <x v="41"/>
    <n v="2"/>
    <n v="10824428332"/>
    <x v="2"/>
    <s v="FBA"/>
    <s v="WD"/>
    <s v="No"/>
  </r>
  <r>
    <n v="9"/>
    <s v="Feb2025"/>
    <s v="Friday"/>
    <x v="41"/>
    <n v="3"/>
    <n v="10867980372"/>
    <x v="3"/>
    <s v="MAT"/>
    <s v="Open TT"/>
    <s v="Yes"/>
  </r>
  <r>
    <n v="9"/>
    <s v="Feb2025"/>
    <s v="Friday"/>
    <x v="41"/>
    <n v="4"/>
    <n v="10847011312"/>
    <x v="3"/>
    <s v="FBA"/>
    <s v="Open TT"/>
    <s v="No"/>
  </r>
  <r>
    <n v="9"/>
    <s v="Feb2025"/>
    <s v="Friday"/>
    <x v="41"/>
    <n v="5"/>
    <n v="10867568422"/>
    <x v="2"/>
    <s v="FBA"/>
    <s v="Explain charges"/>
    <s v="No"/>
  </r>
  <r>
    <n v="9"/>
    <s v="Feb2025"/>
    <s v="Friday"/>
    <x v="41"/>
    <n v="6"/>
    <n v="10868333252"/>
    <x v="0"/>
    <s v="MAT"/>
    <s v="Arabic support"/>
    <s v="No"/>
  </r>
  <r>
    <n v="9"/>
    <s v="Feb2025"/>
    <s v="Friday"/>
    <x v="41"/>
    <n v="7"/>
    <n v="10867707642"/>
    <x v="4"/>
    <s v="FBA"/>
    <s v="Customer return"/>
    <s v="No"/>
  </r>
  <r>
    <n v="9"/>
    <s v="Feb2025"/>
    <s v="Friday"/>
    <x v="41"/>
    <n v="8"/>
    <n v="10846394032"/>
    <x v="2"/>
    <s v="FBA"/>
    <s v="Re-evaluation request"/>
    <s v="No"/>
  </r>
  <r>
    <n v="9"/>
    <s v="Feb2025"/>
    <s v="Friday"/>
    <x v="41"/>
    <n v="9"/>
    <n v="10862526522"/>
    <x v="2"/>
    <s v="ILAC"/>
    <s v="Merged case"/>
    <s v="No"/>
  </r>
  <r>
    <n v="9"/>
    <s v="Feb2025"/>
    <s v="Friday"/>
    <x v="41"/>
    <n v="10"/>
    <n v="10866912262"/>
    <x v="2"/>
    <s v="ILAC"/>
    <s v="Receiving"/>
    <s v="No"/>
  </r>
  <r>
    <n v="9"/>
    <s v="Feb2025"/>
    <s v="Friday"/>
    <x v="41"/>
    <n v="11"/>
    <n v="10868098642"/>
    <x v="2"/>
    <s v="FBA"/>
    <s v="Removal Order"/>
    <s v="No"/>
  </r>
  <r>
    <n v="9"/>
    <s v="Feb2025"/>
    <s v="Friday"/>
    <x v="41"/>
    <n v="12"/>
    <n v="10867567762"/>
    <x v="2"/>
    <s v="ILAC"/>
    <s v="Reconciled"/>
    <s v="No"/>
  </r>
  <r>
    <n v="9"/>
    <s v="Feb2025"/>
    <s v="Friday"/>
    <x v="41"/>
    <n v="13"/>
    <n v="10858881792"/>
    <x v="2"/>
    <s v="FBA"/>
    <s v="Removal Order"/>
    <s v="Yes"/>
  </r>
  <r>
    <n v="9"/>
    <s v="Feb2025"/>
    <s v="Friday"/>
    <x v="41"/>
    <n v="14"/>
    <n v="10869004272"/>
    <x v="0"/>
    <s v="FBA"/>
    <s v="Restricted ASIN"/>
    <s v="No"/>
  </r>
  <r>
    <n v="9"/>
    <s v="Feb2025"/>
    <s v="Friday"/>
    <x v="41"/>
    <n v="15"/>
    <n v="10840165842"/>
    <x v="3"/>
    <s v="FBA"/>
    <s v="PO flip"/>
    <s v="No"/>
  </r>
  <r>
    <n v="9"/>
    <s v="Feb2025"/>
    <s v="Friday"/>
    <x v="41"/>
    <n v="16"/>
    <n v="10869167462"/>
    <x v="2"/>
    <s v="FBA"/>
    <s v="Create shipment"/>
    <s v="No"/>
  </r>
  <r>
    <n v="9"/>
    <s v="Feb2025"/>
    <s v="Friday"/>
    <x v="41"/>
    <n v="17"/>
    <n v="10866680732"/>
    <x v="2"/>
    <s v="FBA"/>
    <s v="Hazmat"/>
    <s v="No"/>
  </r>
  <r>
    <n v="9"/>
    <s v="Feb2025"/>
    <s v="Friday"/>
    <x v="41"/>
    <n v="18"/>
    <n v="10868946882"/>
    <x v="1"/>
    <s v="ILAC"/>
    <s v="Invoice"/>
    <s v="No"/>
  </r>
  <r>
    <n v="9"/>
    <s v="Feb2025"/>
    <s v="Friday"/>
    <x v="41"/>
    <n v="19"/>
    <n v="10869382972"/>
    <x v="2"/>
    <s v="FBA"/>
    <s v="Cancel order"/>
    <s v="No"/>
  </r>
  <r>
    <n v="9"/>
    <s v="Feb2025"/>
    <s v="Friday"/>
    <x v="41"/>
    <n v="20"/>
    <n v="10829010452"/>
    <x v="2"/>
    <s v="ILAC"/>
    <s v="Item Ineligible"/>
    <s v="Yes"/>
  </r>
  <r>
    <n v="9"/>
    <s v="Feb2025"/>
    <s v="Friday"/>
    <x v="41"/>
    <n v="1"/>
    <n v="10827497172"/>
    <x v="3"/>
    <s v="FBA"/>
    <s v="WD"/>
    <s v="Yes"/>
  </r>
  <r>
    <n v="9"/>
    <s v="Feb2025"/>
    <s v="Friday"/>
    <x v="41"/>
    <n v="2"/>
    <n v="10841357082"/>
    <x v="1"/>
    <s v="FBA"/>
    <s v="Carrier Damaged"/>
    <s v="No"/>
  </r>
  <r>
    <n v="9"/>
    <s v="Feb2025"/>
    <s v="Friday"/>
    <x v="41"/>
    <n v="3"/>
    <n v="9998565992"/>
    <x v="2"/>
    <s v="MAT"/>
    <s v="Label"/>
    <s v="No"/>
  </r>
  <r>
    <n v="9"/>
    <s v="Feb2025"/>
    <s v="Friday"/>
    <x v="41"/>
    <n v="4"/>
    <n v="10870104452"/>
    <x v="2"/>
    <s v="FBA"/>
    <s v="Receiving"/>
    <s v="No"/>
  </r>
  <r>
    <n v="9"/>
    <s v="Feb2025"/>
    <s v="Friday"/>
    <x v="41"/>
    <n v="5"/>
    <n v="10783345302"/>
    <x v="3"/>
    <s v="FBA"/>
    <s v="Open TT"/>
    <s v="No"/>
  </r>
  <r>
    <n v="9"/>
    <s v="Feb2025"/>
    <s v="Friday"/>
    <x v="41"/>
    <n v="6"/>
    <n v="10846593522"/>
    <x v="3"/>
    <s v="MAT"/>
    <s v="Open TT"/>
    <s v="No"/>
  </r>
  <r>
    <n v="9"/>
    <s v="Feb2025"/>
    <s v="Friday"/>
    <x v="41"/>
    <n v="7"/>
    <n v="10870008432"/>
    <x v="2"/>
    <s v="FBA"/>
    <s v="Report a violation"/>
    <s v="No"/>
  </r>
  <r>
    <n v="9"/>
    <s v="Feb2025"/>
    <s v="Friday"/>
    <x v="41"/>
    <n v="8"/>
    <n v="10870158762"/>
    <x v="2"/>
    <s v="ILAC"/>
    <s v="Reimbursed"/>
    <s v="Yes"/>
  </r>
  <r>
    <n v="9"/>
    <s v="Feb2025"/>
    <s v="Friday"/>
    <x v="41"/>
    <n v="9"/>
    <n v="10835354752"/>
    <x v="3"/>
    <s v="ILAC"/>
    <s v="Open TT"/>
    <s v="Yes"/>
  </r>
  <r>
    <n v="9"/>
    <s v="Feb2025"/>
    <s v="Friday"/>
    <x v="41"/>
    <n v="10"/>
    <n v="10595796002"/>
    <x v="3"/>
    <s v="FBA"/>
    <s v="Open TT"/>
    <s v="Yes"/>
  </r>
  <r>
    <n v="9"/>
    <s v="Feb2025"/>
    <s v="Friday"/>
    <x v="41"/>
    <n v="11"/>
    <n v="10870232612"/>
    <x v="0"/>
    <s v="FBA"/>
    <s v="Rejected Shipment"/>
    <s v="No"/>
  </r>
  <r>
    <n v="9"/>
    <s v="Feb2025"/>
    <s v="Friday"/>
    <x v="41"/>
    <n v="12"/>
    <n v="10858233172"/>
    <x v="2"/>
    <s v="ILAC"/>
    <s v="Reimbursed"/>
    <s v="Yes"/>
  </r>
  <r>
    <n v="25"/>
    <s v="Jun2025"/>
    <s v="Sunday"/>
    <x v="42"/>
    <n v="1"/>
    <n v="11210060192"/>
    <x v="2"/>
    <s v="FBA"/>
    <s v="Reserved inventory"/>
    <s v="No"/>
  </r>
  <r>
    <n v="25"/>
    <s v="Jun2025"/>
    <s v="Sunday"/>
    <x v="42"/>
    <n v="2"/>
    <n v="11198326272"/>
    <x v="2"/>
    <s v="ILAC"/>
    <s v="Overage"/>
    <s v="No"/>
  </r>
  <r>
    <n v="25"/>
    <s v="Jun2025"/>
    <s v="Sunday"/>
    <x v="42"/>
    <n v="3"/>
    <n v="11024469932"/>
    <x v="3"/>
    <s v="FBA"/>
    <s v="Open TT"/>
    <s v="Yes"/>
  </r>
  <r>
    <n v="25"/>
    <s v="Jun2025"/>
    <s v="Sunday"/>
    <x v="42"/>
    <n v="4"/>
    <n v="11210285032"/>
    <x v="2"/>
    <s v="FBA"/>
    <s v="Orders"/>
    <s v="No"/>
  </r>
  <r>
    <n v="25"/>
    <s v="Jun2025"/>
    <s v="Sunday"/>
    <x v="42"/>
    <n v="5"/>
    <n v="11209876402"/>
    <x v="2"/>
    <s v="ILAC"/>
    <s v="Item Ineligible"/>
    <s v="No"/>
  </r>
  <r>
    <n v="25"/>
    <s v="Jun2025"/>
    <s v="Sunday"/>
    <x v="42"/>
    <n v="6"/>
    <n v="11210481012"/>
    <x v="0"/>
    <s v="MAT"/>
    <s v="2-Step verification"/>
    <s v="No"/>
  </r>
  <r>
    <n v="25"/>
    <s v="Jun2025"/>
    <s v="Sunday"/>
    <x v="42"/>
    <n v="7"/>
    <n v="11209876402"/>
    <x v="2"/>
    <s v="ILAC"/>
    <s v="Item Ineligible"/>
    <s v="No"/>
  </r>
  <r>
    <n v="25"/>
    <s v="Jun2025"/>
    <s v="Sunday"/>
    <x v="42"/>
    <n v="8"/>
    <n v="11209876402"/>
    <x v="2"/>
    <s v="ILAC"/>
    <s v="Item Ineligible"/>
    <s v="No"/>
  </r>
  <r>
    <n v="25"/>
    <s v="Jun2025"/>
    <s v="Sunday"/>
    <x v="42"/>
    <n v="9"/>
    <n v="11209876402"/>
    <x v="2"/>
    <s v="ILAC"/>
    <s v="Item Ineligible"/>
    <s v="No"/>
  </r>
  <r>
    <n v="25"/>
    <s v="Jun2025"/>
    <s v="Sunday"/>
    <x v="42"/>
    <n v="10"/>
    <n v="11106228762"/>
    <x v="3"/>
    <s v="FBA"/>
    <s v="Lost inventory"/>
    <s v="No"/>
  </r>
  <r>
    <n v="25"/>
    <s v="Jun2025"/>
    <s v="Sunday"/>
    <x v="42"/>
    <n v="11"/>
    <n v="11210961972"/>
    <x v="3"/>
    <s v="FBA"/>
    <s v="Missed pickup"/>
    <s v="No"/>
  </r>
  <r>
    <n v="25"/>
    <s v="Jun2025"/>
    <s v="Sunday"/>
    <x v="42"/>
    <n v="12"/>
    <n v="11195195272"/>
    <x v="3"/>
    <s v="ILAC"/>
    <s v="Contacted carrier"/>
    <s v="No"/>
  </r>
  <r>
    <n v="25"/>
    <s v="Jun2025"/>
    <s v="Sunday"/>
    <x v="42"/>
    <n v="13"/>
    <n v="11211014002"/>
    <x v="2"/>
    <s v="FBA"/>
    <s v="Feedback removal req"/>
    <s v="No"/>
  </r>
  <r>
    <n v="25"/>
    <s v="Jun2025"/>
    <s v="Sunday"/>
    <x v="42"/>
    <n v="14"/>
    <n v="11210532542"/>
    <x v="2"/>
    <s v="FBA"/>
    <s v="Featured offer"/>
    <s v="No"/>
  </r>
  <r>
    <n v="25"/>
    <s v="Jun2025"/>
    <s v="Sunday"/>
    <x v="42"/>
    <n v="15"/>
    <n v="11211135702"/>
    <x v="2"/>
    <s v="ILAC"/>
    <s v="Item Ineligible"/>
    <s v="No"/>
  </r>
  <r>
    <n v="25"/>
    <s v="Jun2025"/>
    <s v="Monday"/>
    <x v="43"/>
    <n v="1"/>
    <n v="11212370692"/>
    <x v="2"/>
    <s v="FBA"/>
    <s v="Reserved inventory"/>
    <s v="No"/>
  </r>
  <r>
    <n v="25"/>
    <s v="Jun2025"/>
    <s v="Monday"/>
    <x v="43"/>
    <n v="2"/>
    <n v="11195910312"/>
    <x v="1"/>
    <s v="FBA"/>
    <s v="Chat disconnected"/>
    <s v="Yes"/>
  </r>
  <r>
    <n v="25"/>
    <s v="Jun2025"/>
    <s v="Monday"/>
    <x v="43"/>
    <n v="3"/>
    <n v="11212047982"/>
    <x v="2"/>
    <s v="MAT"/>
    <s v="Product review"/>
    <s v="Yes"/>
  </r>
  <r>
    <n v="25"/>
    <s v="Jun2025"/>
    <s v="Monday"/>
    <x v="43"/>
    <n v="4"/>
    <n v="11212066562"/>
    <x v="2"/>
    <s v="FBA"/>
    <s v="Update business address"/>
    <s v="No"/>
  </r>
  <r>
    <n v="25"/>
    <s v="Jun2025"/>
    <s v="Monday"/>
    <x v="43"/>
    <n v="5"/>
    <n v="11212454362"/>
    <x v="2"/>
    <s v="FBA"/>
    <s v="Removal Order"/>
    <s v="No"/>
  </r>
  <r>
    <n v="25"/>
    <s v="Jun2025"/>
    <s v="Monday"/>
    <x v="43"/>
    <n v="6"/>
    <n v="11212315052"/>
    <x v="1"/>
    <s v="FBA"/>
    <s v="Removal Order"/>
    <s v="No"/>
  </r>
  <r>
    <n v="25"/>
    <s v="Jun2025"/>
    <s v="Monday"/>
    <x v="43"/>
    <n v="7"/>
    <n v="11212430372"/>
    <x v="2"/>
    <s v="MAT"/>
    <s v="Frequently returned item"/>
    <s v="No"/>
  </r>
  <r>
    <n v="25"/>
    <s v="Jun2025"/>
    <s v="Monday"/>
    <x v="43"/>
    <n v="8"/>
    <n v="11212870552"/>
    <x v="3"/>
    <s v="FBA"/>
    <s v="PO flip"/>
    <s v="No"/>
  </r>
  <r>
    <n v="25"/>
    <s v="Jun2025"/>
    <s v="Monday"/>
    <x v="43"/>
    <n v="9"/>
    <n v="11203213612"/>
    <x v="3"/>
    <s v="FBA"/>
    <s v="Reserved inventory"/>
    <s v="No"/>
  </r>
  <r>
    <n v="25"/>
    <s v="Jun2025"/>
    <s v="Monday"/>
    <x v="43"/>
    <n v="10"/>
    <n v="11212988152"/>
    <x v="2"/>
    <s v="MAT"/>
    <s v="Safe-T claim"/>
    <s v="No"/>
  </r>
  <r>
    <n v="25"/>
    <s v="Jun2025"/>
    <s v="Monday"/>
    <x v="43"/>
    <n v="11"/>
    <n v="10841721542"/>
    <x v="3"/>
    <s v="FBA"/>
    <s v="Lost inventory"/>
    <s v="No"/>
  </r>
  <r>
    <n v="25"/>
    <s v="Jun2025"/>
    <s v="Monday"/>
    <x v="43"/>
    <n v="12"/>
    <n v="11212502302"/>
    <x v="2"/>
    <s v="ILAC"/>
    <s v="Ineligible"/>
    <s v="No"/>
  </r>
  <r>
    <n v="25"/>
    <s v="Jun2025"/>
    <s v="Monday"/>
    <x v="43"/>
    <n v="13"/>
    <n v="11213376542"/>
    <x v="2"/>
    <s v="FBA"/>
    <s v="Missed pickup"/>
    <s v="Yes"/>
  </r>
  <r>
    <n v="25"/>
    <s v="Jun2025"/>
    <s v="Monday"/>
    <x v="43"/>
    <n v="14"/>
    <n v="11145299512"/>
    <x v="3"/>
    <s v="FBA"/>
    <s v="Open TT"/>
    <s v="No"/>
  </r>
  <r>
    <n v="25"/>
    <s v="Jun2025"/>
    <s v="Monday"/>
    <x v="43"/>
    <n v="15"/>
    <n v="11213557752"/>
    <x v="2"/>
    <s v="ILAC"/>
    <s v="Contents tab"/>
    <s v="No"/>
  </r>
  <r>
    <n v="25"/>
    <s v="Jun2025"/>
    <s v="Monday"/>
    <x v="43"/>
    <n v="16"/>
    <n v="11213378392"/>
    <x v="2"/>
    <s v="MAT"/>
    <s v="AtoZ claim"/>
    <s v="No"/>
  </r>
  <r>
    <n v="25"/>
    <s v="Jun2025"/>
    <s v="Monday"/>
    <x v="43"/>
    <n v="17"/>
    <n v="10841721542"/>
    <x v="2"/>
    <s v="FBA"/>
    <s v="Lost inventory"/>
    <s v="No"/>
  </r>
  <r>
    <n v="25"/>
    <s v="Jun2025"/>
    <s v="Monday"/>
    <x v="43"/>
    <n v="18"/>
    <n v="11213673182"/>
    <x v="2"/>
    <s v="ILAC"/>
    <s v="Overage"/>
    <s v="No"/>
  </r>
  <r>
    <n v="25"/>
    <s v="Jun2025"/>
    <s v="Monday"/>
    <x v="43"/>
    <n v="19"/>
    <n v="11214120592"/>
    <x v="4"/>
    <s v="FBA"/>
    <s v="Removal Order"/>
    <s v="No"/>
  </r>
  <r>
    <n v="25"/>
    <s v="Jun2025"/>
    <s v="Monday"/>
    <x v="43"/>
    <n v="20"/>
    <n v="11213253512"/>
    <x v="1"/>
    <s v="ILAC"/>
    <s v="Invoice"/>
    <s v="No"/>
  </r>
  <r>
    <n v="25"/>
    <s v="Jun2025"/>
    <s v="Monday"/>
    <x v="43"/>
    <n v="21"/>
    <n v="11213909012"/>
    <x v="2"/>
    <s v="FBA"/>
    <s v="Damaged inventory"/>
    <s v="No"/>
  </r>
  <r>
    <n v="25"/>
    <s v="Jun2025"/>
    <s v="Monday"/>
    <x v="43"/>
    <n v="22"/>
    <n v="11213362332"/>
    <x v="2"/>
    <s v="ILAC"/>
    <s v="Contents tab"/>
    <s v="No"/>
  </r>
  <r>
    <n v="25"/>
    <s v="Jun2025"/>
    <s v="Monday"/>
    <x v="43"/>
    <n v="23"/>
    <n v="11214015222"/>
    <x v="2"/>
    <s v="FBA"/>
    <s v="Removal Order"/>
    <s v="Yes"/>
  </r>
  <r>
    <n v="25"/>
    <s v="Jun2025"/>
    <s v="Monday"/>
    <x v="43"/>
    <n v="24"/>
    <n v="11214606062"/>
    <x v="2"/>
    <s v="FBA"/>
    <s v="Voice of the customer"/>
    <s v="No"/>
  </r>
  <r>
    <n v="25"/>
    <s v="Jun2025"/>
    <s v="Monday"/>
    <x v="43"/>
    <n v="25"/>
    <n v="11170517432"/>
    <x v="2"/>
    <s v="FBA"/>
    <s v="Pan european program"/>
    <s v="No"/>
  </r>
  <r>
    <n v="25"/>
    <s v="Jun2025"/>
    <s v="Monday"/>
    <x v="43"/>
    <n v="26"/>
    <n v="11186300642"/>
    <x v="0"/>
    <s v="ILAC"/>
    <s v="HV"/>
    <s v="No"/>
  </r>
  <r>
    <n v="25"/>
    <s v="Jun2025"/>
    <s v="Monday"/>
    <x v="43"/>
    <n v="27"/>
    <n v="11207192562"/>
    <x v="0"/>
    <s v="ILAC"/>
    <s v="HV"/>
    <s v="No"/>
  </r>
  <r>
    <n v="25"/>
    <s v="Jun2025"/>
    <s v="Tuesday"/>
    <x v="44"/>
    <n v="1"/>
    <n v="11205760922"/>
    <x v="0"/>
    <s v="ILAC"/>
    <s v="HV"/>
    <s v="Yes"/>
  </r>
  <r>
    <n v="25"/>
    <s v="Jun2025"/>
    <s v="Tuesday"/>
    <x v="44"/>
    <n v="2"/>
    <n v="11210521822"/>
    <x v="3"/>
    <s v="FBA"/>
    <s v="Easyship "/>
    <s v="No"/>
  </r>
  <r>
    <n v="25"/>
    <s v="Jun2025"/>
    <s v="Tuesday"/>
    <x v="44"/>
    <n v="3"/>
    <n v="11213542152"/>
    <x v="2"/>
    <s v="FBA"/>
    <s v="Removal Order"/>
    <s v="No"/>
  </r>
  <r>
    <n v="25"/>
    <s v="Jun2025"/>
    <s v="Tuesday"/>
    <x v="44"/>
    <n v="4"/>
    <n v="11210521822"/>
    <x v="2"/>
    <s v="FBA"/>
    <s v="Informed as per TT"/>
    <s v="No"/>
  </r>
  <r>
    <n v="25"/>
    <s v="Jun2025"/>
    <s v="Tuesday"/>
    <x v="44"/>
    <n v="5"/>
    <n v="11216082762"/>
    <x v="2"/>
    <s v="FBA"/>
    <s v="Defective units"/>
    <s v="Yes"/>
  </r>
  <r>
    <n v="25"/>
    <s v="Jun2025"/>
    <s v="Tuesday"/>
    <x v="44"/>
    <n v="6"/>
    <n v="11213624782"/>
    <x v="2"/>
    <s v="FBA"/>
    <s v="Status change"/>
    <s v="No"/>
  </r>
  <r>
    <n v="25"/>
    <s v="Jun2025"/>
    <s v="Tuesday"/>
    <x v="44"/>
    <n v="7"/>
    <n v="11216802052"/>
    <x v="3"/>
    <s v="FBA"/>
    <s v="Easyship "/>
    <s v="No"/>
  </r>
  <r>
    <n v="25"/>
    <s v="Jun2025"/>
    <s v="Tuesday"/>
    <x v="44"/>
    <n v="8"/>
    <n v="11174442202"/>
    <x v="2"/>
    <s v="ILAC"/>
    <s v="Item Ineligible"/>
    <s v="No"/>
  </r>
  <r>
    <n v="25"/>
    <s v="Jun2025"/>
    <s v="Tuesday"/>
    <x v="44"/>
    <n v="9"/>
    <n v="11213588342"/>
    <x v="3"/>
    <s v="FBA"/>
    <s v="Open TT"/>
    <s v="No"/>
  </r>
  <r>
    <n v="25"/>
    <s v="Jun2025"/>
    <s v="Tuesday"/>
    <x v="44"/>
    <n v="10"/>
    <n v="11212870552"/>
    <x v="2"/>
    <s v="FBA"/>
    <s v="PO flip"/>
    <s v="No"/>
  </r>
  <r>
    <n v="25"/>
    <s v="Jun2025"/>
    <s v="Tuesday"/>
    <x v="44"/>
    <n v="11"/>
    <n v="11217189732"/>
    <x v="2"/>
    <s v="FBA"/>
    <s v="Inventory reports"/>
    <s v="No"/>
  </r>
  <r>
    <n v="25"/>
    <s v="Jun2025"/>
    <s v="Tuesday"/>
    <x v="44"/>
    <n v="12"/>
    <n v="11209711302"/>
    <x v="4"/>
    <s v="FBA"/>
    <s v="Chat disconnected"/>
    <s v="No"/>
  </r>
  <r>
    <n v="25"/>
    <s v="Jun2025"/>
    <s v="Tuesday"/>
    <x v="44"/>
    <n v="13"/>
    <n v="11175133002"/>
    <x v="2"/>
    <s v="ILAC"/>
    <s v="Reimbursed"/>
    <s v="No"/>
  </r>
  <r>
    <n v="25"/>
    <s v="Jun2025"/>
    <s v="Tuesday"/>
    <x v="44"/>
    <n v="14"/>
    <n v="11216082762"/>
    <x v="2"/>
    <s v="FBA"/>
    <s v="Inactive listing"/>
    <s v="No"/>
  </r>
  <r>
    <n v="25"/>
    <s v="Jun2025"/>
    <s v="Tuesday"/>
    <x v="44"/>
    <n v="15"/>
    <n v="11217042902"/>
    <x v="2"/>
    <s v="FBA"/>
    <s v="Gated listing"/>
    <s v="No"/>
  </r>
  <r>
    <n v="25"/>
    <s v="Jun2025"/>
    <s v="Tuesday"/>
    <x v="44"/>
    <n v="16"/>
    <n v="11204050072"/>
    <x v="2"/>
    <s v="ILAC"/>
    <s v="Reimbursed"/>
    <s v="No"/>
  </r>
  <r>
    <n v="25"/>
    <s v="Jun2025"/>
    <s v="Tuesday"/>
    <x v="44"/>
    <n v="17"/>
    <n v="11209891702"/>
    <x v="2"/>
    <s v="ILAC"/>
    <s v="Reimbursed"/>
    <s v="No"/>
  </r>
  <r>
    <n v="25"/>
    <s v="Jun2025"/>
    <s v="Tuesday"/>
    <x v="44"/>
    <n v="18"/>
    <n v="11217320152"/>
    <x v="0"/>
    <s v="ILAC"/>
    <s v="AE"/>
    <s v="No"/>
  </r>
  <r>
    <n v="25"/>
    <s v="Jun2025"/>
    <s v="Tuesday"/>
    <x v="44"/>
    <n v="19"/>
    <n v="11216082762"/>
    <x v="2"/>
    <s v="FBA"/>
    <s v="Defective units"/>
    <s v="No"/>
  </r>
  <r>
    <n v="25"/>
    <s v="Jun2025"/>
    <s v="Tuesday"/>
    <x v="44"/>
    <n v="20"/>
    <n v="11217591002"/>
    <x v="0"/>
    <s v="ILAC"/>
    <s v="HV"/>
    <s v="No"/>
  </r>
  <r>
    <n v="25"/>
    <s v="Jun2025"/>
    <s v="Tuesday"/>
    <x v="44"/>
    <n v="21"/>
    <n v="11218004422"/>
    <x v="1"/>
    <s v="MAT"/>
    <s v="GTIN exemption"/>
    <s v="Yes"/>
  </r>
  <r>
    <n v="25"/>
    <s v="Jun2025"/>
    <s v="Tuesday"/>
    <x v="44"/>
    <n v="22"/>
    <n v="11215794762"/>
    <x v="0"/>
    <s v="FBA"/>
    <s v="FFTD"/>
    <s v="No"/>
  </r>
  <r>
    <n v="25"/>
    <s v="Jun2025"/>
    <s v="Tuesday"/>
    <x v="44"/>
    <n v="23"/>
    <n v="11218117772"/>
    <x v="2"/>
    <s v="MAT"/>
    <s v="E5461"/>
    <s v="No"/>
  </r>
  <r>
    <n v="25"/>
    <s v="Jun2025"/>
    <s v="Tuesday"/>
    <x v="44"/>
    <n v="24"/>
    <n v="11216771972"/>
    <x v="2"/>
    <s v="FBA"/>
    <s v="Deals"/>
    <s v="No"/>
  </r>
  <r>
    <n v="25"/>
    <s v="Jun2025"/>
    <s v="Tuesday"/>
    <x v="44"/>
    <n v="25"/>
    <n v="11217873912"/>
    <x v="2"/>
    <s v="ILAC"/>
    <s v="Undelivered shipment"/>
    <s v="No"/>
  </r>
  <r>
    <n v="25"/>
    <s v="Jun2025"/>
    <s v="Wednesday"/>
    <x v="45"/>
    <n v="1"/>
    <n v="11219275182"/>
    <x v="2"/>
    <s v="FBA"/>
    <s v="Removal Order"/>
    <s v="No"/>
  </r>
  <r>
    <n v="25"/>
    <s v="Jun2025"/>
    <s v="Wednesday"/>
    <x v="45"/>
    <n v="2"/>
    <n v="11218599172"/>
    <x v="2"/>
    <s v="FBA"/>
    <s v="Removal Order"/>
    <s v="No"/>
  </r>
  <r>
    <n v="25"/>
    <s v="Jun2025"/>
    <s v="Wednesday"/>
    <x v="45"/>
    <n v="3"/>
    <n v="11211434672"/>
    <x v="2"/>
    <s v="ILAC"/>
    <s v="Reimbursed"/>
    <s v="No"/>
  </r>
  <r>
    <n v="25"/>
    <s v="Jun2025"/>
    <s v="Wednesday"/>
    <x v="45"/>
    <n v="4"/>
    <n v="11219508512"/>
    <x v="1"/>
    <s v="FBA"/>
    <s v="Order ID"/>
    <s v="No"/>
  </r>
  <r>
    <n v="25"/>
    <s v="Jun2025"/>
    <s v="Wednesday"/>
    <x v="45"/>
    <n v="5"/>
    <n v="11218839322"/>
    <x v="1"/>
    <s v="ILAC"/>
    <s v="PMA"/>
    <s v="No"/>
  </r>
  <r>
    <n v="25"/>
    <s v="Jun2025"/>
    <s v="Wednesday"/>
    <x v="45"/>
    <n v="6"/>
    <n v="11219607272"/>
    <x v="4"/>
    <s v="FBA"/>
    <s v="Chat disconnected"/>
    <s v="No"/>
  </r>
  <r>
    <n v="25"/>
    <s v="Jun2025"/>
    <s v="Wednesday"/>
    <x v="45"/>
    <n v="7"/>
    <n v="11219999902"/>
    <x v="0"/>
    <s v="ILAC"/>
    <s v="ILAC"/>
    <s v="No"/>
  </r>
  <r>
    <n v="25"/>
    <s v="Jun2025"/>
    <s v="Wednesday"/>
    <x v="45"/>
    <n v="8"/>
    <n v="11219866002"/>
    <x v="3"/>
    <s v="FBA"/>
    <s v="Easyship "/>
    <s v="Yes"/>
  </r>
  <r>
    <n v="25"/>
    <s v="Jun2025"/>
    <s v="Wednesday"/>
    <x v="45"/>
    <n v="9"/>
    <n v="11220349202"/>
    <x v="2"/>
    <s v="ILAC"/>
    <s v="Contents tab"/>
    <s v="No"/>
  </r>
  <r>
    <n v="25"/>
    <s v="Jun2025"/>
    <s v="Wednesday"/>
    <x v="45"/>
    <n v="10"/>
    <n v="11221212512"/>
    <x v="2"/>
    <s v="FBA"/>
    <s v="Removal Order"/>
    <s v="No"/>
  </r>
  <r>
    <n v="25"/>
    <s v="Jun2025"/>
    <s v="Wednesday"/>
    <x v="45"/>
    <n v="11"/>
    <n v="11219630222"/>
    <x v="2"/>
    <s v="FBA"/>
    <s v="BIL"/>
    <s v="No"/>
  </r>
  <r>
    <n v="25"/>
    <s v="Jun2025"/>
    <s v="Wednesday"/>
    <x v="45"/>
    <n v="12"/>
    <n v="11221800522"/>
    <x v="2"/>
    <s v="FBA"/>
    <s v="Cancel order"/>
    <s v="No"/>
  </r>
  <r>
    <n v="25"/>
    <s v="Jun2025"/>
    <s v="Wednesday"/>
    <x v="45"/>
    <n v="13"/>
    <n v="11221943392"/>
    <x v="2"/>
    <s v="ILAC"/>
    <s v="Shipment not closed"/>
    <s v="No"/>
  </r>
  <r>
    <n v="25"/>
    <s v="Jun2025"/>
    <s v="Wednesday"/>
    <x v="45"/>
    <n v="14"/>
    <n v="11201236612"/>
    <x v="3"/>
    <s v="FBA"/>
    <s v="Unauthorised inventory"/>
    <s v="No"/>
  </r>
  <r>
    <n v="25"/>
    <s v="Jun2025"/>
    <s v="Wednesday"/>
    <x v="45"/>
    <n v="15"/>
    <n v="11214220532"/>
    <x v="2"/>
    <s v="MAT"/>
    <s v="Documents"/>
    <s v="Yes"/>
  </r>
  <r>
    <n v="25"/>
    <s v="Jun2025"/>
    <s v="Wednesday"/>
    <x v="45"/>
    <n v="16"/>
    <n v="11213362332"/>
    <x v="2"/>
    <s v="ILAC"/>
    <s v="Contents tab"/>
    <s v="No"/>
  </r>
  <r>
    <n v="25"/>
    <s v="Jun2025"/>
    <s v="Wednesday"/>
    <x v="45"/>
    <n v="17"/>
    <n v="11221874052"/>
    <x v="2"/>
    <s v="MAT"/>
    <s v="E5461"/>
    <s v="No"/>
  </r>
  <r>
    <n v="25"/>
    <s v="Jun2025"/>
    <s v="Wednesday"/>
    <x v="45"/>
    <n v="18"/>
    <n v="11221732122"/>
    <x v="0"/>
    <s v="MAT"/>
    <s v="IIDP"/>
    <s v="No"/>
  </r>
  <r>
    <n v="25"/>
    <s v="Jun2025"/>
    <s v="Wednesday"/>
    <x v="45"/>
    <n v="19"/>
    <n v="11222354172"/>
    <x v="2"/>
    <s v="FBA"/>
    <s v="Hazmat"/>
    <s v="No"/>
  </r>
  <r>
    <n v="25"/>
    <s v="Jun2025"/>
    <s v="Wednesday"/>
    <x v="45"/>
    <n v="20"/>
    <n v="11218750942"/>
    <x v="3"/>
    <s v="FBA"/>
    <s v="RMS"/>
    <s v="Yes"/>
  </r>
  <r>
    <n v="25"/>
    <s v="Jun2025"/>
    <s v="Wednesday"/>
    <x v="45"/>
    <n v="21"/>
    <n v="11222596512"/>
    <x v="2"/>
    <s v="FBA"/>
    <s v="ASIN remap"/>
    <s v="Yes"/>
  </r>
  <r>
    <n v="25"/>
    <s v="Jun2025"/>
    <s v="Wednesday"/>
    <x v="45"/>
    <n v="22"/>
    <n v="11222112872"/>
    <x v="1"/>
    <s v="FBA"/>
    <s v="Deals"/>
    <s v="Yes"/>
  </r>
  <r>
    <n v="25"/>
    <s v="Jun2025"/>
    <s v="Wednesday"/>
    <x v="45"/>
    <n v="23"/>
    <n v="11222091192"/>
    <x v="2"/>
    <s v="FBA"/>
    <s v="Featured offer"/>
    <s v="No"/>
  </r>
  <r>
    <n v="25"/>
    <s v="Jun2025"/>
    <s v="Wednesday"/>
    <x v="45"/>
    <n v="24"/>
    <n v="11222310232"/>
    <x v="1"/>
    <s v="FBA"/>
    <s v="Removal Order"/>
    <s v="No"/>
  </r>
  <r>
    <n v="25"/>
    <s v="Jun2025"/>
    <s v="Thursday"/>
    <x v="46"/>
    <n v="1"/>
    <n v="11224177872"/>
    <x v="1"/>
    <s v="FBA"/>
    <s v="FC address"/>
    <s v="No"/>
  </r>
  <r>
    <n v="25"/>
    <s v="Jun2025"/>
    <s v="Thursday"/>
    <x v="46"/>
    <n v="2"/>
    <n v="11223862012"/>
    <x v="2"/>
    <s v="MAT"/>
    <s v="Category Listing Report"/>
    <s v="No"/>
  </r>
  <r>
    <n v="25"/>
    <s v="Jun2025"/>
    <s v="Thursday"/>
    <x v="46"/>
    <n v="3"/>
    <n v="11224367422"/>
    <x v="2"/>
    <s v="ILAC"/>
    <s v="Already reimbursed"/>
    <s v="No"/>
  </r>
  <r>
    <n v="25"/>
    <s v="Jun2025"/>
    <s v="Thursday"/>
    <x v="46"/>
    <n v="4"/>
    <n v="11224469322"/>
    <x v="0"/>
    <s v="ILAC"/>
    <s v="HV"/>
    <s v="No"/>
  </r>
  <r>
    <n v="25"/>
    <s v="Jun2025"/>
    <s v="Thursday"/>
    <x v="46"/>
    <n v="5"/>
    <n v="11137111952"/>
    <x v="0"/>
    <s v="MAT"/>
    <s v="Account Level Reserve"/>
    <s v="No"/>
  </r>
  <r>
    <n v="25"/>
    <s v="Jun2025"/>
    <s v="Thursday"/>
    <x v="46"/>
    <n v="6"/>
    <n v="11224281512"/>
    <x v="2"/>
    <s v="MAT"/>
    <s v="VAT "/>
    <s v="No"/>
  </r>
  <r>
    <n v="25"/>
    <s v="Jun2025"/>
    <s v="Thursday"/>
    <x v="46"/>
    <n v="7"/>
    <n v="11222080582"/>
    <x v="3"/>
    <s v="FBA"/>
    <s v="WD"/>
    <s v="No"/>
  </r>
  <r>
    <n v="25"/>
    <s v="Jun2025"/>
    <s v="Thursday"/>
    <x v="46"/>
    <n v="8"/>
    <n v="11224450612"/>
    <x v="2"/>
    <s v="FBA"/>
    <s v="Self ship"/>
    <s v="No"/>
  </r>
  <r>
    <n v="25"/>
    <s v="Jun2025"/>
    <s v="Thursday"/>
    <x v="46"/>
    <n v="9"/>
    <n v="11224425242"/>
    <x v="2"/>
    <s v="FBA"/>
    <s v="Re-print label"/>
    <s v="Yes"/>
  </r>
  <r>
    <n v="25"/>
    <s v="Jun2025"/>
    <s v="Thursday"/>
    <x v="46"/>
    <n v="10"/>
    <n v="11224985412"/>
    <x v="2"/>
    <s v="FBA"/>
    <s v="ASIN remap"/>
    <s v="No"/>
  </r>
  <r>
    <n v="25"/>
    <s v="Jun2025"/>
    <s v="Thursday"/>
    <x v="46"/>
    <n v="11"/>
    <n v="11172021912"/>
    <x v="3"/>
    <s v="FBA"/>
    <s v="Open TT"/>
    <s v="No"/>
  </r>
  <r>
    <n v="25"/>
    <s v="Jun2025"/>
    <s v="Thursday"/>
    <x v="46"/>
    <n v="12"/>
    <n v="11224616622"/>
    <x v="2"/>
    <s v="ILAC"/>
    <s v="Contents tab"/>
    <s v="No"/>
  </r>
  <r>
    <n v="25"/>
    <s v="Jun2025"/>
    <s v="Thursday"/>
    <x v="46"/>
    <n v="13"/>
    <n v="11225197102"/>
    <x v="0"/>
    <s v="MAT"/>
    <s v="Feeds"/>
    <s v="Yes"/>
  </r>
  <r>
    <n v="25"/>
    <s v="Jun2025"/>
    <s v="Thursday"/>
    <x v="46"/>
    <n v="14"/>
    <n v="11224509202"/>
    <x v="2"/>
    <s v="ILAC"/>
    <s v="Merged case"/>
    <s v="No"/>
  </r>
  <r>
    <n v="25"/>
    <s v="Jun2025"/>
    <s v="Thursday"/>
    <x v="46"/>
    <n v="15"/>
    <n v="11212584072"/>
    <x v="2"/>
    <s v="ILAC"/>
    <s v="Reimbursed"/>
    <s v="Yes"/>
  </r>
  <r>
    <n v="25"/>
    <s v="Jun2025"/>
    <s v="Thursday"/>
    <x v="46"/>
    <n v="16"/>
    <n v="11217683752"/>
    <x v="3"/>
    <s v="FBA"/>
    <s v="Open TT"/>
    <s v="No"/>
  </r>
  <r>
    <n v="25"/>
    <s v="Jun2025"/>
    <s v="Thursday"/>
    <x v="46"/>
    <n v="17"/>
    <n v="11219866002"/>
    <x v="2"/>
    <s v="FBA"/>
    <s v="Easyship "/>
    <s v="Yes"/>
  </r>
  <r>
    <n v="25"/>
    <s v="Jun2025"/>
    <s v="Thursday"/>
    <x v="46"/>
    <n v="18"/>
    <n v="11222310232"/>
    <x v="2"/>
    <s v="FBA"/>
    <s v="Reimbursed"/>
    <s v="No"/>
  </r>
  <r>
    <n v="25"/>
    <s v="Jun2025"/>
    <s v="Thursday"/>
    <x v="46"/>
    <n v="19"/>
    <n v="11217873912"/>
    <x v="1"/>
    <s v="ILAC"/>
    <s v="Invoice"/>
    <s v="No"/>
  </r>
  <r>
    <n v="25"/>
    <s v="Jun2025"/>
    <s v="Thursday"/>
    <x v="46"/>
    <n v="20"/>
    <n v="11201236612"/>
    <x v="3"/>
    <s v="FBA"/>
    <s v="Open TT"/>
    <s v="Yes"/>
  </r>
  <r>
    <n v="25"/>
    <s v="Jun2025"/>
    <s v="Thursday"/>
    <x v="46"/>
    <n v="21"/>
    <n v="11219699482"/>
    <x v="0"/>
    <s v="MAT"/>
    <s v="BR support"/>
    <s v="No"/>
  </r>
  <r>
    <n v="25"/>
    <s v="Jun2025"/>
    <s v="Thursday"/>
    <x v="46"/>
    <n v="22"/>
    <n v="11225742312"/>
    <x v="3"/>
    <s v="MAT"/>
    <s v="E5885"/>
    <s v="No"/>
  </r>
  <r>
    <n v="25"/>
    <s v="Jun2025"/>
    <s v="Thursday"/>
    <x v="46"/>
    <n v="23"/>
    <n v="11170810202"/>
    <x v="1"/>
    <s v="ILAC"/>
    <s v="Invoice"/>
    <s v="No"/>
  </r>
  <r>
    <n v="25"/>
    <s v="Jun2025"/>
    <s v="Thursday"/>
    <x v="46"/>
    <n v="24"/>
    <n v="11225742312"/>
    <x v="2"/>
    <s v="MAT"/>
    <s v="E5885"/>
    <s v="No"/>
  </r>
  <r>
    <n v="25"/>
    <s v="Jun2025"/>
    <s v="Thursday"/>
    <x v="46"/>
    <n v="25"/>
    <n v="10720180962"/>
    <x v="2"/>
    <s v="FBA"/>
    <s v="AmazonNow"/>
    <s v="No"/>
  </r>
  <r>
    <n v="26"/>
    <s v="Jun2025"/>
    <s v="Monday"/>
    <x v="47"/>
    <n v="1"/>
    <n v="11225900172"/>
    <x v="2"/>
    <s v="FBA"/>
    <s v="Merged case"/>
    <s v="No"/>
  </r>
  <r>
    <n v="26"/>
    <s v="Jun2025"/>
    <s v="Monday"/>
    <x v="47"/>
    <n v="2"/>
    <n v="11236322312"/>
    <x v="3"/>
    <s v="FBA"/>
    <s v="WD"/>
    <s v="No"/>
  </r>
  <r>
    <n v="26"/>
    <s v="Jun2025"/>
    <s v="Monday"/>
    <x v="47"/>
    <n v="3"/>
    <n v="11236363052"/>
    <x v="2"/>
    <s v="FBA"/>
    <s v="Feedback removal req"/>
    <s v="Yes"/>
  </r>
  <r>
    <n v="26"/>
    <s v="Jun2025"/>
    <s v="Monday"/>
    <x v="47"/>
    <n v="4"/>
    <n v="11236188402"/>
    <x v="2"/>
    <s v="ILAC"/>
    <s v="Receiving"/>
    <s v="No"/>
  </r>
  <r>
    <n v="26"/>
    <s v="Jun2025"/>
    <s v="Monday"/>
    <x v="47"/>
    <n v="5"/>
    <n v="11231450942"/>
    <x v="1"/>
    <s v="ILAC"/>
    <s v="BOL"/>
    <s v="No"/>
  </r>
  <r>
    <n v="26"/>
    <s v="Jun2025"/>
    <s v="Monday"/>
    <x v="47"/>
    <n v="6"/>
    <n v="11235835522"/>
    <x v="0"/>
    <s v="ILAC"/>
    <s v="HV"/>
    <s v="No"/>
  </r>
  <r>
    <n v="26"/>
    <s v="Jun2025"/>
    <s v="Monday"/>
    <x v="47"/>
    <n v="7"/>
    <n v="11236307892"/>
    <x v="3"/>
    <s v="FBA"/>
    <s v="Reserved inventory"/>
    <s v="No"/>
  </r>
  <r>
    <n v="26"/>
    <s v="Jun2025"/>
    <s v="Monday"/>
    <x v="47"/>
    <n v="8"/>
    <n v="11236520272"/>
    <x v="2"/>
    <s v="MAT"/>
    <s v="Suppressed ASIN"/>
    <s v="No"/>
  </r>
  <r>
    <n v="26"/>
    <s v="Jun2025"/>
    <s v="Tuesday"/>
    <x v="48"/>
    <n v="1"/>
    <n v="11239757272"/>
    <x v="2"/>
    <s v="FBA"/>
    <s v="Orders"/>
    <s v="No"/>
  </r>
  <r>
    <n v="26"/>
    <s v="Jun2025"/>
    <s v="Tuesday"/>
    <x v="48"/>
    <n v="2"/>
    <n v="11239844472"/>
    <x v="0"/>
    <s v="ILAC"/>
    <s v="HV"/>
    <s v="No"/>
  </r>
  <r>
    <n v="26"/>
    <s v="Jun2025"/>
    <s v="Tuesday"/>
    <x v="48"/>
    <n v="3"/>
    <n v="11239705572"/>
    <x v="0"/>
    <s v="ILAC"/>
    <s v="HV"/>
    <s v="No"/>
  </r>
  <r>
    <n v="26"/>
    <s v="Jun2025"/>
    <s v="Tuesday"/>
    <x v="48"/>
    <n v="4"/>
    <n v="11239752102"/>
    <x v="2"/>
    <s v="MAT"/>
    <s v="A+ content"/>
    <s v="No"/>
  </r>
  <r>
    <n v="26"/>
    <s v="Jun2025"/>
    <s v="Tuesday"/>
    <x v="48"/>
    <n v="5"/>
    <n v="11222587392"/>
    <x v="2"/>
    <s v="FBA"/>
    <s v="ASIN remap"/>
    <s v="No"/>
  </r>
  <r>
    <n v="26"/>
    <s v="Jun2025"/>
    <s v="Tuesday"/>
    <x v="48"/>
    <n v="6"/>
    <n v="11239772542"/>
    <x v="3"/>
    <s v="FBA"/>
    <s v="Open TT"/>
    <s v="No"/>
  </r>
  <r>
    <n v="26"/>
    <s v="Jun2025"/>
    <s v="Tuesday"/>
    <x v="48"/>
    <n v="7"/>
    <n v="11240183482"/>
    <x v="0"/>
    <s v="ILAC"/>
    <s v="DE"/>
    <s v="No"/>
  </r>
  <r>
    <n v="26"/>
    <s v="Jun2025"/>
    <s v="Tuesday"/>
    <x v="48"/>
    <n v="8"/>
    <n v="11240383412"/>
    <x v="2"/>
    <s v="FBA"/>
    <s v="Report a violation"/>
    <s v="No"/>
  </r>
  <r>
    <n v="26"/>
    <s v="Jun2025"/>
    <s v="Tuesday"/>
    <x v="48"/>
    <n v="9"/>
    <n v="11233541752"/>
    <x v="2"/>
    <s v="FBA"/>
    <s v="Damaged inventory"/>
    <s v="Yes"/>
  </r>
  <r>
    <n v="26"/>
    <s v="Jun2025"/>
    <s v="Tuesday"/>
    <x v="48"/>
    <n v="10"/>
    <n v="11238399002"/>
    <x v="3"/>
    <s v="FBA"/>
    <s v="WD"/>
    <s v="No"/>
  </r>
  <r>
    <n v="26"/>
    <s v="Jun2025"/>
    <s v="Tuesday"/>
    <x v="48"/>
    <n v="11"/>
    <n v="11240656532"/>
    <x v="1"/>
    <s v="ILAC"/>
    <s v="Invoice"/>
    <s v="No"/>
  </r>
  <r>
    <n v="26"/>
    <s v="Jun2025"/>
    <s v="Tuesday"/>
    <x v="48"/>
    <n v="12"/>
    <n v="11240699962"/>
    <x v="2"/>
    <s v="MAT"/>
    <s v="GPSR"/>
    <s v="No"/>
  </r>
  <r>
    <n v="26"/>
    <s v="Jun2025"/>
    <s v="Tuesday"/>
    <x v="48"/>
    <n v="13"/>
    <n v="11240927662"/>
    <x v="2"/>
    <s v="FBA"/>
    <s v="Pan european program"/>
    <s v="No"/>
  </r>
  <r>
    <n v="26"/>
    <s v="Jun2025"/>
    <s v="Tuesday"/>
    <x v="48"/>
    <n v="14"/>
    <n v="11240968452"/>
    <x v="2"/>
    <s v="FBA"/>
    <s v="Removal Order"/>
    <s v="No"/>
  </r>
  <r>
    <n v="26"/>
    <s v="Jun2025"/>
    <s v="Tuesday"/>
    <x v="48"/>
    <n v="15"/>
    <n v="11239298712"/>
    <x v="1"/>
    <s v="FBA"/>
    <s v="Order ID"/>
    <s v="No"/>
  </r>
  <r>
    <n v="26"/>
    <s v="Jun2025"/>
    <s v="Tuesday"/>
    <x v="48"/>
    <n v="16"/>
    <n v="11241140862"/>
    <x v="2"/>
    <s v="FBA"/>
    <s v="Feedback removal req"/>
    <s v="No"/>
  </r>
  <r>
    <n v="26"/>
    <s v="Jun2025"/>
    <s v="Tuesday"/>
    <x v="48"/>
    <n v="17"/>
    <n v="11241112522"/>
    <x v="2"/>
    <s v="FBA"/>
    <s v="Orders"/>
    <s v="No"/>
  </r>
  <r>
    <n v="26"/>
    <s v="Jun2025"/>
    <s v="Tuesday"/>
    <x v="48"/>
    <n v="18"/>
    <n v="11241278072"/>
    <x v="1"/>
    <s v="ILAC"/>
    <s v="Invoice"/>
    <s v="No"/>
  </r>
  <r>
    <n v="26"/>
    <s v="Jun2025"/>
    <s v="Tuesday"/>
    <x v="48"/>
    <n v="19"/>
    <n v="11241298122"/>
    <x v="0"/>
    <s v="MAT"/>
    <s v="ILAC"/>
    <s v="Yes"/>
  </r>
  <r>
    <n v="26"/>
    <s v="Jun2025"/>
    <s v="Tuesday"/>
    <x v="48"/>
    <n v="20"/>
    <n v="11232460712"/>
    <x v="0"/>
    <s v="ILAC"/>
    <s v="HV"/>
    <s v="Yes"/>
  </r>
  <r>
    <n v="26"/>
    <s v="Jun2025"/>
    <s v="Tuesday"/>
    <x v="48"/>
    <n v="21"/>
    <n v="11241347742"/>
    <x v="2"/>
    <s v="FBA"/>
    <s v="Removal Order"/>
    <s v="No"/>
  </r>
  <r>
    <n v="26"/>
    <s v="Jun2025"/>
    <s v="Tuesday"/>
    <x v="48"/>
    <n v="22"/>
    <n v="11241439442"/>
    <x v="3"/>
    <s v="FBA"/>
    <s v="PO flip"/>
    <s v="No"/>
  </r>
  <r>
    <n v="26"/>
    <s v="Jun2025"/>
    <s v="Tuesday"/>
    <x v="48"/>
    <n v="23"/>
    <n v="11241415032"/>
    <x v="2"/>
    <s v="FBA"/>
    <s v="Merged case"/>
    <s v="No"/>
  </r>
  <r>
    <n v="26"/>
    <s v="Jun2025"/>
    <s v="Tuesday"/>
    <x v="48"/>
    <n v="24"/>
    <n v="11241604562"/>
    <x v="3"/>
    <s v="FBA"/>
    <s v="WD"/>
    <s v="No"/>
  </r>
  <r>
    <n v="26"/>
    <s v="Jun2025"/>
    <s v="Tuesday"/>
    <x v="48"/>
    <n v="25"/>
    <n v="11241648752"/>
    <x v="0"/>
    <s v="MAT"/>
    <s v="IIDP"/>
    <s v="No"/>
  </r>
  <r>
    <n v="26"/>
    <s v="Jun2025"/>
    <s v="Tuesday"/>
    <x v="48"/>
    <n v="26"/>
    <n v="11241315432"/>
    <x v="2"/>
    <s v="FBA"/>
    <s v="Removal Order"/>
    <s v="No"/>
  </r>
  <r>
    <n v="26"/>
    <s v="Jun2025"/>
    <s v="Tuesday"/>
    <x v="48"/>
    <n v="27"/>
    <n v="11241788212"/>
    <x v="0"/>
    <s v="ILAC"/>
    <s v="HV"/>
    <s v="Yes"/>
  </r>
  <r>
    <n v="26"/>
    <s v="Jun2025"/>
    <s v="Tuesday"/>
    <x v="48"/>
    <n v="28"/>
    <n v="11241439442"/>
    <x v="2"/>
    <s v="FBA"/>
    <s v="PO flip"/>
    <s v="No"/>
  </r>
  <r>
    <n v="26"/>
    <s v="Jun2025"/>
    <s v="Tuesday"/>
    <x v="48"/>
    <n v="29"/>
    <n v="11203309922"/>
    <x v="3"/>
    <s v="FBA"/>
    <s v="Open TT"/>
    <s v="No"/>
  </r>
  <r>
    <n v="26"/>
    <s v="Jun2025"/>
    <s v="Tuesday"/>
    <x v="48"/>
    <n v="30"/>
    <n v="11225908262"/>
    <x v="3"/>
    <s v="FBA"/>
    <s v="Reserved inventory"/>
    <s v="Yes"/>
  </r>
  <r>
    <n v="26"/>
    <s v="Jun2025"/>
    <s v="Wednesday"/>
    <x v="49"/>
    <n v="1"/>
    <n v="11222587392"/>
    <x v="2"/>
    <s v="FBA"/>
    <s v="ASIN remap"/>
    <s v="No"/>
  </r>
  <r>
    <n v="26"/>
    <s v="Jun2025"/>
    <s v="Wednesday"/>
    <x v="49"/>
    <n v="2"/>
    <n v="11243275812"/>
    <x v="2"/>
    <s v="FBA"/>
    <s v="Callback req"/>
    <s v="No"/>
  </r>
  <r>
    <n v="26"/>
    <s v="Jun2025"/>
    <s v="Wednesday"/>
    <x v="49"/>
    <n v="3"/>
    <n v="11243487262"/>
    <x v="2"/>
    <s v="ILAC"/>
    <s v="Reimbursed"/>
    <s v="No"/>
  </r>
  <r>
    <n v="26"/>
    <s v="Jun2025"/>
    <s v="Wednesday"/>
    <x v="49"/>
    <n v="4"/>
    <n v="11243527462"/>
    <x v="0"/>
    <s v="MAT"/>
    <s v="BR support"/>
    <s v="No"/>
  </r>
  <r>
    <n v="26"/>
    <s v="Jun2025"/>
    <s v="Wednesday"/>
    <x v="49"/>
    <n v="5"/>
    <n v="11243645812"/>
    <x v="2"/>
    <s v="FBA"/>
    <s v="ATS"/>
    <s v="No"/>
  </r>
  <r>
    <n v="26"/>
    <s v="Jun2025"/>
    <s v="Wednesday"/>
    <x v="49"/>
    <n v="6"/>
    <n v="11243658672"/>
    <x v="2"/>
    <s v="FBA"/>
    <s v="Feedback removal req"/>
    <s v="Yes"/>
  </r>
  <r>
    <n v="26"/>
    <s v="Jun2025"/>
    <s v="Wednesday"/>
    <x v="49"/>
    <n v="7"/>
    <n v="11243830482"/>
    <x v="2"/>
    <s v="FBA"/>
    <s v="Overage"/>
    <s v="No"/>
  </r>
  <r>
    <n v="26"/>
    <s v="Jun2025"/>
    <s v="Wednesday"/>
    <x v="49"/>
    <n v="8"/>
    <n v="11244006152"/>
    <x v="2"/>
    <s v="MAT"/>
    <s v="Chat disconnected"/>
    <s v="No"/>
  </r>
  <r>
    <n v="26"/>
    <s v="Jun2025"/>
    <s v="Wednesday"/>
    <x v="49"/>
    <n v="9"/>
    <n v="11243942092"/>
    <x v="3"/>
    <s v="MAT"/>
    <s v="E5665"/>
    <s v="No"/>
  </r>
  <r>
    <n v="26"/>
    <s v="Jun2025"/>
    <s v="Wednesday"/>
    <x v="49"/>
    <n v="10"/>
    <n v="11244006082"/>
    <x v="2"/>
    <s v="MAT"/>
    <s v="Cancel order"/>
    <s v="No"/>
  </r>
  <r>
    <n v="26"/>
    <s v="Jun2025"/>
    <s v="Wednesday"/>
    <x v="49"/>
    <n v="11"/>
    <n v="11240656532"/>
    <x v="2"/>
    <s v="ILAC"/>
    <s v="Item Ineligible"/>
    <s v="No"/>
  </r>
  <r>
    <n v="26"/>
    <s v="Jun2025"/>
    <s v="Wednesday"/>
    <x v="49"/>
    <n v="12"/>
    <n v="11244151172"/>
    <x v="0"/>
    <s v="MAT"/>
    <s v="Amazon Renewed AE queue : sesu-ae-mat-ecm-reg-std-eng-crf@amazon.ae"/>
    <s v="No"/>
  </r>
  <r>
    <n v="26"/>
    <s v="Jun2025"/>
    <s v="Wednesday"/>
    <x v="49"/>
    <n v="13"/>
    <n v="11235044832"/>
    <x v="2"/>
    <s v="FBA"/>
    <s v="Reserved inventory"/>
    <s v="No"/>
  </r>
  <r>
    <n v="26"/>
    <s v="Jun2025"/>
    <s v="Wednesday"/>
    <x v="49"/>
    <n v="14"/>
    <n v="11244163232"/>
    <x v="0"/>
    <s v="ILAC"/>
    <s v="HV"/>
    <s v="No"/>
  </r>
  <r>
    <n v="26"/>
    <s v="Jun2025"/>
    <s v="Wednesday"/>
    <x v="49"/>
    <n v="15"/>
    <n v="11230643782"/>
    <x v="0"/>
    <s v="FBA"/>
    <s v="DE"/>
    <s v="No"/>
  </r>
  <r>
    <n v="26"/>
    <s v="Jun2025"/>
    <s v="Wednesday"/>
    <x v="49"/>
    <n v="16"/>
    <n v="11244225792"/>
    <x v="2"/>
    <s v="FBA"/>
    <s v="Prev ASC resolved chat case"/>
    <s v="Yes"/>
  </r>
  <r>
    <n v="26"/>
    <s v="Jun2025"/>
    <s v="Wednesday"/>
    <x v="49"/>
    <n v="17"/>
    <n v="11244282932"/>
    <x v="2"/>
    <s v="ILAC"/>
    <s v="Item Ineligible"/>
    <s v="Yes"/>
  </r>
  <r>
    <n v="26"/>
    <s v="Jun2025"/>
    <s v="Wednesday"/>
    <x v="49"/>
    <n v="18"/>
    <n v="11203387942"/>
    <x v="1"/>
    <s v="FBA"/>
    <s v="Req info"/>
    <s v="No"/>
  </r>
  <r>
    <n v="26"/>
    <s v="Jun2025"/>
    <s v="Wednesday"/>
    <x v="49"/>
    <n v="19"/>
    <n v="11244599302"/>
    <x v="2"/>
    <s v="MAT"/>
    <s v="Disbursement"/>
    <s v="No"/>
  </r>
  <r>
    <n v="26"/>
    <s v="Jun2025"/>
    <s v="Wednesday"/>
    <x v="49"/>
    <n v="20"/>
    <n v="11236612262"/>
    <x v="2"/>
    <s v="ILAC"/>
    <s v="Reimbursed"/>
    <s v="Yes"/>
  </r>
  <r>
    <n v="26"/>
    <s v="Jun2025"/>
    <s v="Wednesday"/>
    <x v="49"/>
    <n v="21"/>
    <n v="11244437302"/>
    <x v="2"/>
    <s v="ILAC"/>
    <s v="Explain charges"/>
    <s v="No"/>
  </r>
  <r>
    <n v="26"/>
    <s v="Jun2025"/>
    <s v="Wednesday"/>
    <x v="49"/>
    <n v="22"/>
    <n v="11244777262"/>
    <x v="2"/>
    <s v="FBA"/>
    <s v="Easyship "/>
    <s v="No"/>
  </r>
  <r>
    <n v="26"/>
    <s v="Jun2025"/>
    <s v="Wednesday"/>
    <x v="49"/>
    <n v="23"/>
    <n v="11244810752"/>
    <x v="0"/>
    <s v="ILAC"/>
    <s v="HV"/>
    <s v="Yes"/>
  </r>
  <r>
    <n v="26"/>
    <s v="Jun2025"/>
    <s v="Wednesday"/>
    <x v="49"/>
    <n v="24"/>
    <n v="11200052862"/>
    <x v="1"/>
    <s v="ILAC"/>
    <s v="More time req"/>
    <s v="No"/>
  </r>
  <r>
    <n v="26"/>
    <s v="Jun2025"/>
    <s v="Wednesday"/>
    <x v="49"/>
    <n v="25"/>
    <n v="11244933402"/>
    <x v="2"/>
    <s v="MAT"/>
    <s v="Amazon Customs Program"/>
    <s v="Yes"/>
  </r>
  <r>
    <n v="26"/>
    <s v="Jun2025"/>
    <s v="Wednesday"/>
    <x v="49"/>
    <n v="26"/>
    <n v="11242956662"/>
    <x v="2"/>
    <s v="FBA"/>
    <s v="WD"/>
    <s v="No"/>
  </r>
  <r>
    <n v="26"/>
    <s v="Jun2025"/>
    <s v="Wednesday"/>
    <x v="49"/>
    <n v="27"/>
    <n v="11245030442"/>
    <x v="2"/>
    <s v="MAT"/>
    <s v="Account verification"/>
    <s v="No"/>
  </r>
  <r>
    <n v="26"/>
    <s v="Jun2025"/>
    <s v="Wednesday"/>
    <x v="49"/>
    <n v="28"/>
    <n v="11245090652"/>
    <x v="2"/>
    <s v="FBA"/>
    <s v="ATS"/>
    <s v="No"/>
  </r>
  <r>
    <n v="26"/>
    <s v="Jun2025"/>
    <s v="Wednesday"/>
    <x v="49"/>
    <n v="29"/>
    <n v="11178857832"/>
    <x v="3"/>
    <s v="FBA"/>
    <s v="Open TT"/>
    <s v="No"/>
  </r>
  <r>
    <n v="26"/>
    <s v="Jun2025"/>
    <s v="Wednesday"/>
    <x v="49"/>
    <n v="30"/>
    <n v="11245254792"/>
    <x v="2"/>
    <s v="MAT"/>
    <s v="Invoice"/>
    <s v="No"/>
  </r>
  <r>
    <n v="26"/>
    <s v="Jun2025"/>
    <s v="Wednesday"/>
    <x v="49"/>
    <n v="31"/>
    <n v="11240699872"/>
    <x v="0"/>
    <s v="FBA"/>
    <s v="Arabic support"/>
    <s v="No"/>
  </r>
  <r>
    <n v="26"/>
    <s v="Jun2025"/>
    <s v="Thursday"/>
    <x v="50"/>
    <n v="1"/>
    <n v="11231450942"/>
    <x v="1"/>
    <s v="ILAC"/>
    <s v="More time req"/>
    <s v="No"/>
  </r>
  <r>
    <n v="26"/>
    <s v="Jun2025"/>
    <s v="Thursday"/>
    <x v="50"/>
    <n v="2"/>
    <n v="11244188292"/>
    <x v="0"/>
    <s v="ILAC"/>
    <s v="HV"/>
    <s v="No"/>
  </r>
  <r>
    <n v="26"/>
    <s v="Jun2025"/>
    <s v="Thursday"/>
    <x v="50"/>
    <n v="3"/>
    <n v="11246605382"/>
    <x v="2"/>
    <s v="FBA"/>
    <s v="Removal Order"/>
    <s v="No"/>
  </r>
  <r>
    <n v="26"/>
    <s v="Jun2025"/>
    <s v="Thursday"/>
    <x v="50"/>
    <n v="4"/>
    <n v="11203387942"/>
    <x v="2"/>
    <s v="FBA"/>
    <s v="Removal Order"/>
    <s v="No"/>
  </r>
  <r>
    <n v="26"/>
    <s v="Jun2025"/>
    <s v="Thursday"/>
    <x v="50"/>
    <n v="5"/>
    <n v="11246670422"/>
    <x v="3"/>
    <s v="ILAC"/>
    <s v="Open TT"/>
    <s v="Yes"/>
  </r>
  <r>
    <n v="26"/>
    <s v="Jun2025"/>
    <s v="Thursday"/>
    <x v="50"/>
    <n v="6"/>
    <n v="11246746422"/>
    <x v="3"/>
    <s v="ILAC"/>
    <s v="Open TT"/>
    <s v="No"/>
  </r>
  <r>
    <n v="26"/>
    <s v="Jun2025"/>
    <s v="Thursday"/>
    <x v="50"/>
    <n v="7"/>
    <n v="11247008072"/>
    <x v="2"/>
    <s v="MAT"/>
    <s v="Add a product"/>
    <s v="No"/>
  </r>
  <r>
    <n v="26"/>
    <s v="Jun2025"/>
    <s v="Thursday"/>
    <x v="50"/>
    <n v="8"/>
    <n v="11240101922"/>
    <x v="2"/>
    <s v="MAT"/>
    <s v="Product review"/>
    <s v="No"/>
  </r>
  <r>
    <n v="26"/>
    <s v="Jun2025"/>
    <s v="Thursday"/>
    <x v="50"/>
    <n v="9"/>
    <n v="11246746422"/>
    <x v="2"/>
    <s v="ILAC"/>
    <s v="Reimbursed"/>
    <s v="No"/>
  </r>
  <r>
    <n v="26"/>
    <s v="Jun2025"/>
    <s v="Thursday"/>
    <x v="50"/>
    <n v="10"/>
    <n v="11247445232"/>
    <x v="2"/>
    <s v="FBA"/>
    <s v="BIL"/>
    <s v="No"/>
  </r>
  <r>
    <n v="26"/>
    <s v="Jun2025"/>
    <s v="Thursday"/>
    <x v="50"/>
    <n v="11"/>
    <n v="11247380242"/>
    <x v="0"/>
    <s v="ILAC"/>
    <s v="HV"/>
    <s v="No"/>
  </r>
  <r>
    <n v="26"/>
    <s v="Jun2025"/>
    <s v="Thursday"/>
    <x v="50"/>
    <n v="12"/>
    <n v="11247430552"/>
    <x v="1"/>
    <s v="MAT"/>
    <s v="E5461"/>
    <s v="No"/>
  </r>
  <r>
    <n v="26"/>
    <s v="Jun2025"/>
    <s v="Thursday"/>
    <x v="50"/>
    <n v="13"/>
    <n v="11111758012"/>
    <x v="2"/>
    <s v="MAT"/>
    <s v="Inactive listing"/>
    <s v="No"/>
  </r>
  <r>
    <n v="26"/>
    <s v="Jun2025"/>
    <s v="Thursday"/>
    <x v="50"/>
    <n v="14"/>
    <n v="11246775322"/>
    <x v="2"/>
    <s v="FBA"/>
    <s v="Lost inventory"/>
    <s v="No"/>
  </r>
  <r>
    <n v="26"/>
    <s v="Jun2025"/>
    <s v="Thursday"/>
    <x v="50"/>
    <n v="15"/>
    <n v="11247771492"/>
    <x v="2"/>
    <s v="FBA"/>
    <s v="Removal Order"/>
    <s v="No"/>
  </r>
  <r>
    <n v="26"/>
    <s v="Jun2025"/>
    <s v="Thursday"/>
    <x v="50"/>
    <n v="16"/>
    <n v="11247804612"/>
    <x v="2"/>
    <s v="MAT"/>
    <s v="99 case"/>
    <s v="No"/>
  </r>
  <r>
    <n v="26"/>
    <s v="Jun2025"/>
    <s v="Thursday"/>
    <x v="50"/>
    <n v="17"/>
    <n v="11246321852"/>
    <x v="2"/>
    <s v="FBA"/>
    <s v="Reimbursed"/>
    <s v="No"/>
  </r>
  <r>
    <n v="26"/>
    <s v="Jun2025"/>
    <s v="Thursday"/>
    <x v="50"/>
    <n v="18"/>
    <n v="11247430552"/>
    <x v="3"/>
    <s v="MAT"/>
    <s v="E5461"/>
    <s v="Yes"/>
  </r>
  <r>
    <n v="26"/>
    <s v="Jun2025"/>
    <s v="Thursday"/>
    <x v="50"/>
    <n v="19"/>
    <n v="11145299512"/>
    <x v="3"/>
    <s v="FBA"/>
    <s v="Open TT"/>
    <s v="No"/>
  </r>
  <r>
    <n v="26"/>
    <s v="Jun2025"/>
    <s v="Thursday"/>
    <x v="50"/>
    <n v="20"/>
    <n v="11248255932"/>
    <x v="2"/>
    <s v="FBA"/>
    <s v="Easyship "/>
    <s v="No"/>
  </r>
  <r>
    <n v="26"/>
    <s v="Jun2025"/>
    <s v="Thursday"/>
    <x v="50"/>
    <n v="21"/>
    <n v="11248189442"/>
    <x v="2"/>
    <s v="ILAC"/>
    <s v="Contents tab"/>
    <s v="No"/>
  </r>
  <r>
    <n v="26"/>
    <s v="Jun2025"/>
    <s v="Thursday"/>
    <x v="50"/>
    <n v="22"/>
    <n v="11248857232"/>
    <x v="2"/>
    <s v="FBA"/>
    <s v="Close account"/>
    <s v="No"/>
  </r>
  <r>
    <n v="26"/>
    <s v="Jun2025"/>
    <s v="Thursday"/>
    <x v="50"/>
    <n v="23"/>
    <n v="11147188492"/>
    <x v="3"/>
    <s v="FBA"/>
    <s v="Lost inventory"/>
    <s v="No"/>
  </r>
  <r>
    <n v="26"/>
    <s v="Jun2025"/>
    <s v="Thursday"/>
    <x v="50"/>
    <n v="24"/>
    <n v="11249068432"/>
    <x v="2"/>
    <s v="ILAC"/>
    <s v="No discrepancy"/>
    <s v="No"/>
  </r>
  <r>
    <n v="26"/>
    <s v="Jun2025"/>
    <s v="Thursday"/>
    <x v="50"/>
    <n v="25"/>
    <n v="11241604562"/>
    <x v="2"/>
    <s v="FBA"/>
    <s v="WD"/>
    <s v="No"/>
  </r>
  <r>
    <n v="26"/>
    <s v="Jun2025"/>
    <s v="Thursday"/>
    <x v="50"/>
    <n v="26"/>
    <n v="11249570112"/>
    <x v="2"/>
    <s v="MAT"/>
    <s v="Report a violation"/>
    <s v="No"/>
  </r>
  <r>
    <n v="26"/>
    <s v="Jun2025"/>
    <s v="Thursday"/>
    <x v="50"/>
    <n v="27"/>
    <n v="11249293212"/>
    <x v="2"/>
    <s v="ILAC"/>
    <s v="Shipment over 6 months"/>
    <s v="No"/>
  </r>
  <r>
    <n v="26"/>
    <s v="Jun2025"/>
    <s v="Thursday"/>
    <x v="50"/>
    <n v="28"/>
    <n v="11249570522"/>
    <x v="0"/>
    <s v="ILAC"/>
    <s v="HV"/>
    <s v="No"/>
  </r>
  <r>
    <n v="26"/>
    <s v="Jun2025"/>
    <s v="Thursday"/>
    <x v="50"/>
    <n v="29"/>
    <n v="11215461112"/>
    <x v="1"/>
    <s v="ILAC"/>
    <s v="Re-evaluation request"/>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6">
  <r>
    <n v="2"/>
    <x v="0"/>
    <s v="Thursday"/>
    <d v="2025-01-09T00:00:00"/>
    <x v="0"/>
    <x v="0"/>
    <x v="0"/>
    <x v="0"/>
  </r>
  <r>
    <n v="2"/>
    <x v="0"/>
    <s v="Thursday"/>
    <d v="2025-01-09T00:00:00"/>
    <x v="1"/>
    <x v="1"/>
    <x v="1"/>
    <x v="0"/>
  </r>
  <r>
    <n v="2"/>
    <x v="0"/>
    <s v="Thursday"/>
    <d v="2025-01-09T00:00:00"/>
    <x v="2"/>
    <x v="2"/>
    <x v="1"/>
    <x v="0"/>
  </r>
  <r>
    <n v="2"/>
    <x v="0"/>
    <s v="Thursday"/>
    <d v="2025-01-09T00:00:00"/>
    <x v="3"/>
    <x v="3"/>
    <x v="2"/>
    <x v="0"/>
  </r>
  <r>
    <n v="2"/>
    <x v="0"/>
    <s v="Thursday"/>
    <d v="2025-01-09T00:00:00"/>
    <x v="4"/>
    <x v="4"/>
    <x v="1"/>
    <x v="1"/>
  </r>
  <r>
    <n v="2"/>
    <x v="0"/>
    <s v="Thursday"/>
    <d v="2025-01-09T00:00:00"/>
    <x v="5"/>
    <x v="5"/>
    <x v="0"/>
    <x v="2"/>
  </r>
  <r>
    <n v="2"/>
    <x v="0"/>
    <s v="Thursday"/>
    <d v="2025-01-09T00:00:00"/>
    <x v="6"/>
    <x v="6"/>
    <x v="2"/>
    <x v="2"/>
  </r>
  <r>
    <n v="2"/>
    <x v="0"/>
    <s v="Thursday"/>
    <d v="2025-01-09T00:00:00"/>
    <x v="7"/>
    <x v="7"/>
    <x v="3"/>
    <x v="2"/>
  </r>
  <r>
    <n v="2"/>
    <x v="0"/>
    <s v="Thursday"/>
    <d v="2025-01-09T00:00:00"/>
    <x v="8"/>
    <x v="8"/>
    <x v="1"/>
    <x v="0"/>
  </r>
  <r>
    <n v="2"/>
    <x v="0"/>
    <s v="Thursday"/>
    <d v="2025-01-09T00:00:00"/>
    <x v="9"/>
    <x v="9"/>
    <x v="2"/>
    <x v="1"/>
  </r>
  <r>
    <n v="2"/>
    <x v="0"/>
    <s v="Thursday"/>
    <d v="2025-01-09T00:00:00"/>
    <x v="10"/>
    <x v="10"/>
    <x v="2"/>
    <x v="1"/>
  </r>
  <r>
    <n v="2"/>
    <x v="0"/>
    <s v="Thursday"/>
    <d v="2025-01-09T00:00:00"/>
    <x v="11"/>
    <x v="11"/>
    <x v="2"/>
    <x v="0"/>
  </r>
  <r>
    <n v="2"/>
    <x v="0"/>
    <s v="Thursday"/>
    <d v="2025-01-09T00:00:00"/>
    <x v="12"/>
    <x v="7"/>
    <x v="3"/>
    <x v="1"/>
  </r>
  <r>
    <n v="2"/>
    <x v="0"/>
    <s v="Thursday"/>
    <d v="2025-01-09T00:00:00"/>
    <x v="13"/>
    <x v="12"/>
    <x v="2"/>
    <x v="0"/>
  </r>
  <r>
    <n v="2"/>
    <x v="0"/>
    <s v="Thursday"/>
    <d v="2025-01-09T00:00:00"/>
    <x v="14"/>
    <x v="13"/>
    <x v="2"/>
    <x v="1"/>
  </r>
  <r>
    <n v="2"/>
    <x v="0"/>
    <s v="Thursday"/>
    <d v="2025-01-09T00:00:00"/>
    <x v="15"/>
    <x v="14"/>
    <x v="1"/>
    <x v="0"/>
  </r>
  <r>
    <n v="2"/>
    <x v="0"/>
    <s v="Thursday"/>
    <d v="2025-01-09T00:00:00"/>
    <x v="16"/>
    <x v="15"/>
    <x v="2"/>
    <x v="0"/>
  </r>
  <r>
    <n v="2"/>
    <x v="0"/>
    <s v="Thursday"/>
    <d v="2025-01-09T00:00:00"/>
    <x v="17"/>
    <x v="7"/>
    <x v="2"/>
    <x v="1"/>
  </r>
  <r>
    <n v="2"/>
    <x v="0"/>
    <s v="Friday"/>
    <d v="2025-01-10T00:00:00"/>
    <x v="0"/>
    <x v="16"/>
    <x v="3"/>
    <x v="1"/>
  </r>
  <r>
    <n v="2"/>
    <x v="0"/>
    <s v="Friday"/>
    <d v="2025-01-10T00:00:00"/>
    <x v="1"/>
    <x v="17"/>
    <x v="2"/>
    <x v="0"/>
  </r>
  <r>
    <n v="2"/>
    <x v="0"/>
    <s v="Friday"/>
    <d v="2025-01-10T00:00:00"/>
    <x v="2"/>
    <x v="18"/>
    <x v="0"/>
    <x v="2"/>
  </r>
  <r>
    <n v="2"/>
    <x v="0"/>
    <s v="Friday"/>
    <d v="2025-01-10T00:00:00"/>
    <x v="3"/>
    <x v="19"/>
    <x v="2"/>
    <x v="0"/>
  </r>
  <r>
    <n v="2"/>
    <x v="0"/>
    <s v="Friday"/>
    <d v="2025-01-10T00:00:00"/>
    <x v="4"/>
    <x v="20"/>
    <x v="2"/>
    <x v="1"/>
  </r>
  <r>
    <n v="2"/>
    <x v="0"/>
    <s v="Friday"/>
    <d v="2025-01-10T00:00:00"/>
    <x v="5"/>
    <x v="21"/>
    <x v="1"/>
    <x v="2"/>
  </r>
  <r>
    <n v="2"/>
    <x v="0"/>
    <s v="Friday"/>
    <d v="2025-01-10T00:00:00"/>
    <x v="6"/>
    <x v="22"/>
    <x v="2"/>
    <x v="1"/>
  </r>
  <r>
    <n v="2"/>
    <x v="0"/>
    <s v="Friday"/>
    <d v="2025-01-10T00:00:00"/>
    <x v="7"/>
    <x v="23"/>
    <x v="0"/>
    <x v="2"/>
  </r>
  <r>
    <n v="2"/>
    <x v="0"/>
    <s v="Friday"/>
    <d v="2025-01-10T00:00:00"/>
    <x v="8"/>
    <x v="24"/>
    <x v="2"/>
    <x v="1"/>
  </r>
  <r>
    <n v="2"/>
    <x v="0"/>
    <s v="Friday"/>
    <d v="2025-01-10T00:00:00"/>
    <x v="9"/>
    <x v="25"/>
    <x v="0"/>
    <x v="2"/>
  </r>
  <r>
    <n v="2"/>
    <x v="0"/>
    <s v="Friday"/>
    <d v="2025-01-10T00:00:00"/>
    <x v="10"/>
    <x v="26"/>
    <x v="3"/>
    <x v="1"/>
  </r>
  <r>
    <n v="2"/>
    <x v="0"/>
    <s v="Friday"/>
    <d v="2025-01-10T00:00:00"/>
    <x v="11"/>
    <x v="27"/>
    <x v="2"/>
    <x v="0"/>
  </r>
  <r>
    <n v="2"/>
    <x v="0"/>
    <s v="Friday"/>
    <d v="2025-01-10T00:00:00"/>
    <x v="12"/>
    <x v="28"/>
    <x v="1"/>
    <x v="0"/>
  </r>
  <r>
    <n v="2"/>
    <x v="0"/>
    <s v="Friday"/>
    <d v="2025-01-10T00:00:00"/>
    <x v="13"/>
    <x v="29"/>
    <x v="2"/>
    <x v="1"/>
  </r>
  <r>
    <n v="2"/>
    <x v="0"/>
    <s v="Friday"/>
    <d v="2025-01-10T00:00:00"/>
    <x v="14"/>
    <x v="30"/>
    <x v="2"/>
    <x v="1"/>
  </r>
  <r>
    <n v="2"/>
    <x v="0"/>
    <s v="Friday"/>
    <d v="2025-01-10T00:00:00"/>
    <x v="15"/>
    <x v="31"/>
    <x v="0"/>
    <x v="0"/>
  </r>
  <r>
    <n v="2"/>
    <x v="0"/>
    <s v="Friday"/>
    <d v="2025-01-10T00:00:00"/>
    <x v="16"/>
    <x v="32"/>
    <x v="0"/>
    <x v="0"/>
  </r>
  <r>
    <n v="2"/>
    <x v="0"/>
    <s v="Friday"/>
    <d v="2025-01-10T00:00:00"/>
    <x v="17"/>
    <x v="33"/>
    <x v="2"/>
    <x v="1"/>
  </r>
  <r>
    <n v="2"/>
    <x v="0"/>
    <s v="Friday"/>
    <d v="2025-01-10T00:00:00"/>
    <x v="18"/>
    <x v="34"/>
    <x v="1"/>
    <x v="0"/>
  </r>
  <r>
    <n v="2"/>
    <x v="0"/>
    <s v="Friday"/>
    <d v="2025-01-10T00:00:00"/>
    <x v="19"/>
    <x v="35"/>
    <x v="1"/>
    <x v="2"/>
  </r>
  <r>
    <n v="2"/>
    <x v="0"/>
    <s v="Friday"/>
    <d v="2025-01-10T00:00:00"/>
    <x v="20"/>
    <x v="8"/>
    <x v="2"/>
    <x v="0"/>
  </r>
  <r>
    <n v="2"/>
    <x v="0"/>
    <s v="Saturday"/>
    <d v="2025-01-11T00:00:00"/>
    <x v="0"/>
    <x v="36"/>
    <x v="1"/>
    <x v="0"/>
  </r>
  <r>
    <n v="2"/>
    <x v="0"/>
    <s v="Saturday"/>
    <d v="2025-01-11T00:00:00"/>
    <x v="1"/>
    <x v="37"/>
    <x v="0"/>
    <x v="0"/>
  </r>
  <r>
    <n v="2"/>
    <x v="0"/>
    <s v="Saturday"/>
    <d v="2025-01-11T00:00:00"/>
    <x v="2"/>
    <x v="38"/>
    <x v="1"/>
    <x v="0"/>
  </r>
  <r>
    <n v="2"/>
    <x v="0"/>
    <s v="Saturday"/>
    <d v="2025-01-11T00:00:00"/>
    <x v="3"/>
    <x v="39"/>
    <x v="2"/>
    <x v="0"/>
  </r>
  <r>
    <n v="2"/>
    <x v="0"/>
    <s v="Saturday"/>
    <d v="2025-01-11T00:00:00"/>
    <x v="4"/>
    <x v="40"/>
    <x v="2"/>
    <x v="2"/>
  </r>
  <r>
    <n v="2"/>
    <x v="0"/>
    <s v="Saturday"/>
    <d v="2025-01-11T00:00:00"/>
    <x v="5"/>
    <x v="41"/>
    <x v="2"/>
    <x v="0"/>
  </r>
  <r>
    <n v="2"/>
    <x v="0"/>
    <s v="Saturday"/>
    <d v="2025-01-11T00:00:00"/>
    <x v="6"/>
    <x v="42"/>
    <x v="3"/>
    <x v="0"/>
  </r>
  <r>
    <n v="2"/>
    <x v="0"/>
    <s v="Saturday"/>
    <d v="2025-01-11T00:00:00"/>
    <x v="7"/>
    <x v="43"/>
    <x v="2"/>
    <x v="0"/>
  </r>
  <r>
    <n v="2"/>
    <x v="0"/>
    <s v="Saturday"/>
    <d v="2025-01-11T00:00:00"/>
    <x v="8"/>
    <x v="44"/>
    <x v="2"/>
    <x v="1"/>
  </r>
  <r>
    <n v="2"/>
    <x v="0"/>
    <s v="Saturday"/>
    <d v="2025-01-11T00:00:00"/>
    <x v="9"/>
    <x v="45"/>
    <x v="1"/>
    <x v="2"/>
  </r>
  <r>
    <n v="2"/>
    <x v="0"/>
    <s v="Saturday"/>
    <d v="2025-01-11T00:00:00"/>
    <x v="10"/>
    <x v="46"/>
    <x v="3"/>
    <x v="2"/>
  </r>
  <r>
    <n v="2"/>
    <x v="0"/>
    <s v="Saturday"/>
    <d v="2025-01-11T00:00:00"/>
    <x v="11"/>
    <x v="47"/>
    <x v="3"/>
    <x v="2"/>
  </r>
  <r>
    <n v="2"/>
    <x v="0"/>
    <s v="Saturday"/>
    <d v="2025-01-11T00:00:00"/>
    <x v="12"/>
    <x v="48"/>
    <x v="2"/>
    <x v="2"/>
  </r>
  <r>
    <n v="2"/>
    <x v="0"/>
    <s v="Saturday"/>
    <d v="2025-01-11T00:00:00"/>
    <x v="13"/>
    <x v="49"/>
    <x v="2"/>
    <x v="1"/>
  </r>
  <r>
    <n v="2"/>
    <x v="0"/>
    <s v="Saturday"/>
    <d v="2025-01-11T00:00:00"/>
    <x v="14"/>
    <x v="50"/>
    <x v="2"/>
    <x v="2"/>
  </r>
  <r>
    <n v="2"/>
    <x v="0"/>
    <s v="Saturday"/>
    <d v="2025-01-11T00:00:00"/>
    <x v="15"/>
    <x v="51"/>
    <x v="3"/>
    <x v="2"/>
  </r>
  <r>
    <n v="2"/>
    <x v="0"/>
    <s v="Saturday"/>
    <d v="2025-01-11T00:00:00"/>
    <x v="16"/>
    <x v="47"/>
    <x v="2"/>
    <x v="2"/>
  </r>
  <r>
    <n v="2"/>
    <x v="0"/>
    <s v="Saturday"/>
    <d v="2025-01-11T00:00:00"/>
    <x v="17"/>
    <x v="52"/>
    <x v="1"/>
    <x v="0"/>
  </r>
  <r>
    <n v="2"/>
    <x v="0"/>
    <s v="Saturday"/>
    <d v="2025-01-11T00:00:00"/>
    <x v="18"/>
    <x v="53"/>
    <x v="2"/>
    <x v="2"/>
  </r>
  <r>
    <n v="2"/>
    <x v="0"/>
    <s v="Saturday"/>
    <d v="2025-01-11T00:00:00"/>
    <x v="19"/>
    <x v="54"/>
    <x v="3"/>
    <x v="1"/>
  </r>
  <r>
    <n v="3"/>
    <x v="0"/>
    <s v="Sunday"/>
    <d v="2025-01-12T00:00:00"/>
    <x v="0"/>
    <x v="55"/>
    <x v="3"/>
    <x v="0"/>
  </r>
  <r>
    <n v="3"/>
    <x v="0"/>
    <s v="Sunday"/>
    <d v="2025-01-12T00:00:00"/>
    <x v="1"/>
    <x v="56"/>
    <x v="1"/>
    <x v="0"/>
  </r>
  <r>
    <n v="3"/>
    <x v="0"/>
    <s v="Sunday"/>
    <d v="2025-01-12T00:00:00"/>
    <x v="2"/>
    <x v="57"/>
    <x v="2"/>
    <x v="0"/>
  </r>
  <r>
    <n v="3"/>
    <x v="0"/>
    <s v="Sunday"/>
    <d v="2025-01-12T00:00:00"/>
    <x v="3"/>
    <x v="58"/>
    <x v="2"/>
    <x v="0"/>
  </r>
  <r>
    <n v="3"/>
    <x v="0"/>
    <s v="Sunday"/>
    <d v="2025-01-12T00:00:00"/>
    <x v="4"/>
    <x v="59"/>
    <x v="1"/>
    <x v="0"/>
  </r>
  <r>
    <n v="3"/>
    <x v="0"/>
    <s v="Sunday"/>
    <d v="2025-01-12T00:00:00"/>
    <x v="5"/>
    <x v="60"/>
    <x v="1"/>
    <x v="0"/>
  </r>
  <r>
    <n v="3"/>
    <x v="0"/>
    <s v="Sunday"/>
    <d v="2025-01-12T00:00:00"/>
    <x v="6"/>
    <x v="61"/>
    <x v="2"/>
    <x v="0"/>
  </r>
  <r>
    <n v="3"/>
    <x v="0"/>
    <s v="Sunday"/>
    <d v="2025-01-12T00:00:00"/>
    <x v="7"/>
    <x v="62"/>
    <x v="2"/>
    <x v="1"/>
  </r>
  <r>
    <n v="3"/>
    <x v="0"/>
    <s v="Sunday"/>
    <d v="2025-01-12T00:00:00"/>
    <x v="8"/>
    <x v="63"/>
    <x v="3"/>
    <x v="1"/>
  </r>
  <r>
    <n v="3"/>
    <x v="0"/>
    <s v="Sunday"/>
    <d v="2025-01-12T00:00:00"/>
    <x v="9"/>
    <x v="64"/>
    <x v="2"/>
    <x v="1"/>
  </r>
  <r>
    <n v="3"/>
    <x v="0"/>
    <s v="Sunday"/>
    <d v="2025-01-12T00:00:00"/>
    <x v="10"/>
    <x v="65"/>
    <x v="2"/>
    <x v="1"/>
  </r>
  <r>
    <n v="3"/>
    <x v="0"/>
    <s v="Sunday"/>
    <d v="2025-01-12T00:00:00"/>
    <x v="11"/>
    <x v="66"/>
    <x v="2"/>
    <x v="2"/>
  </r>
  <r>
    <n v="3"/>
    <x v="0"/>
    <s v="Sunday"/>
    <d v="2025-01-12T00:00:00"/>
    <x v="12"/>
    <x v="67"/>
    <x v="2"/>
    <x v="1"/>
  </r>
  <r>
    <n v="3"/>
    <x v="0"/>
    <s v="Sunday"/>
    <d v="2025-01-12T00:00:00"/>
    <x v="13"/>
    <x v="63"/>
    <x v="1"/>
    <x v="1"/>
  </r>
  <r>
    <n v="3"/>
    <x v="0"/>
    <s v="Sunday"/>
    <d v="2025-01-12T00:00:00"/>
    <x v="14"/>
    <x v="56"/>
    <x v="2"/>
    <x v="0"/>
  </r>
  <r>
    <n v="3"/>
    <x v="0"/>
    <s v="Monday"/>
    <d v="2025-01-13T00:00:00"/>
    <x v="0"/>
    <x v="68"/>
    <x v="2"/>
    <x v="1"/>
  </r>
  <r>
    <n v="3"/>
    <x v="0"/>
    <s v="Monday"/>
    <d v="2025-01-13T00:00:00"/>
    <x v="1"/>
    <x v="69"/>
    <x v="1"/>
    <x v="0"/>
  </r>
  <r>
    <n v="3"/>
    <x v="0"/>
    <s v="Monday"/>
    <d v="2025-01-13T00:00:00"/>
    <x v="2"/>
    <x v="70"/>
    <x v="2"/>
    <x v="0"/>
  </r>
  <r>
    <n v="3"/>
    <x v="0"/>
    <s v="Monday"/>
    <d v="2025-01-13T00:00:00"/>
    <x v="3"/>
    <x v="71"/>
    <x v="2"/>
    <x v="2"/>
  </r>
  <r>
    <n v="3"/>
    <x v="0"/>
    <s v="Monday"/>
    <d v="2025-01-13T00:00:00"/>
    <x v="4"/>
    <x v="72"/>
    <x v="2"/>
    <x v="2"/>
  </r>
  <r>
    <n v="3"/>
    <x v="0"/>
    <s v="Monday"/>
    <d v="2025-01-13T00:00:00"/>
    <x v="5"/>
    <x v="73"/>
    <x v="2"/>
    <x v="0"/>
  </r>
  <r>
    <n v="3"/>
    <x v="0"/>
    <s v="Monday"/>
    <d v="2025-01-13T00:00:00"/>
    <x v="6"/>
    <x v="74"/>
    <x v="2"/>
    <x v="0"/>
  </r>
  <r>
    <n v="3"/>
    <x v="0"/>
    <s v="Monday"/>
    <d v="2025-01-13T00:00:00"/>
    <x v="7"/>
    <x v="75"/>
    <x v="2"/>
    <x v="2"/>
  </r>
  <r>
    <n v="3"/>
    <x v="0"/>
    <s v="Monday"/>
    <d v="2025-01-13T00:00:00"/>
    <x v="8"/>
    <x v="76"/>
    <x v="3"/>
    <x v="1"/>
  </r>
  <r>
    <n v="3"/>
    <x v="0"/>
    <s v="Monday"/>
    <d v="2025-01-13T00:00:00"/>
    <x v="9"/>
    <x v="77"/>
    <x v="2"/>
    <x v="1"/>
  </r>
  <r>
    <n v="3"/>
    <x v="0"/>
    <s v="Monday"/>
    <d v="2025-01-13T00:00:00"/>
    <x v="10"/>
    <x v="78"/>
    <x v="0"/>
    <x v="2"/>
  </r>
  <r>
    <n v="3"/>
    <x v="0"/>
    <s v="Monday"/>
    <d v="2025-01-13T00:00:00"/>
    <x v="11"/>
    <x v="79"/>
    <x v="3"/>
    <x v="1"/>
  </r>
  <r>
    <n v="3"/>
    <x v="0"/>
    <s v="Monday"/>
    <d v="2025-01-13T00:00:00"/>
    <x v="12"/>
    <x v="80"/>
    <x v="2"/>
    <x v="1"/>
  </r>
  <r>
    <n v="3"/>
    <x v="0"/>
    <s v="Monday"/>
    <d v="2025-01-13T00:00:00"/>
    <x v="13"/>
    <x v="81"/>
    <x v="2"/>
    <x v="1"/>
  </r>
  <r>
    <n v="3"/>
    <x v="0"/>
    <s v="Monday"/>
    <d v="2025-01-13T00:00:00"/>
    <x v="14"/>
    <x v="82"/>
    <x v="2"/>
    <x v="2"/>
  </r>
  <r>
    <n v="3"/>
    <x v="0"/>
    <s v="Monday"/>
    <d v="2025-01-13T00:00:00"/>
    <x v="15"/>
    <x v="83"/>
    <x v="2"/>
    <x v="1"/>
  </r>
  <r>
    <n v="3"/>
    <x v="0"/>
    <s v="Monday"/>
    <d v="2025-01-13T00:00:00"/>
    <x v="16"/>
    <x v="84"/>
    <x v="2"/>
    <x v="1"/>
  </r>
  <r>
    <n v="3"/>
    <x v="0"/>
    <s v="Monday"/>
    <d v="2025-01-13T00:00:00"/>
    <x v="17"/>
    <x v="85"/>
    <x v="4"/>
    <x v="2"/>
  </r>
  <r>
    <n v="3"/>
    <x v="0"/>
    <s v="Monday"/>
    <d v="2025-01-13T00:00:00"/>
    <x v="18"/>
    <x v="86"/>
    <x v="2"/>
    <x v="0"/>
  </r>
  <r>
    <n v="3"/>
    <x v="0"/>
    <s v="Monday"/>
    <d v="2025-01-13T00:00:00"/>
    <x v="20"/>
    <x v="87"/>
    <x v="2"/>
    <x v="0"/>
  </r>
  <r>
    <n v="3"/>
    <x v="0"/>
    <s v="Thursday"/>
    <d v="2025-01-16T00:00:00"/>
    <x v="0"/>
    <x v="88"/>
    <x v="2"/>
    <x v="2"/>
  </r>
  <r>
    <n v="3"/>
    <x v="0"/>
    <s v="Thursday"/>
    <d v="2025-01-16T00:00:00"/>
    <x v="1"/>
    <x v="89"/>
    <x v="2"/>
    <x v="0"/>
  </r>
  <r>
    <n v="3"/>
    <x v="0"/>
    <s v="Thursday"/>
    <d v="2025-01-16T00:00:00"/>
    <x v="2"/>
    <x v="90"/>
    <x v="1"/>
    <x v="0"/>
  </r>
  <r>
    <n v="3"/>
    <x v="0"/>
    <s v="Thursday"/>
    <d v="2025-01-16T00:00:00"/>
    <x v="3"/>
    <x v="91"/>
    <x v="2"/>
    <x v="0"/>
  </r>
  <r>
    <n v="3"/>
    <x v="0"/>
    <s v="Thursday"/>
    <d v="2025-01-16T00:00:00"/>
    <x v="4"/>
    <x v="92"/>
    <x v="2"/>
    <x v="0"/>
  </r>
  <r>
    <n v="3"/>
    <x v="0"/>
    <s v="Thursday"/>
    <d v="2025-01-16T00:00:00"/>
    <x v="5"/>
    <x v="93"/>
    <x v="2"/>
    <x v="0"/>
  </r>
  <r>
    <n v="3"/>
    <x v="0"/>
    <s v="Thursday"/>
    <d v="2025-01-16T00:00:00"/>
    <x v="6"/>
    <x v="94"/>
    <x v="2"/>
    <x v="0"/>
  </r>
  <r>
    <n v="3"/>
    <x v="0"/>
    <s v="Thursday"/>
    <d v="2025-01-16T00:00:00"/>
    <x v="7"/>
    <x v="95"/>
    <x v="2"/>
    <x v="0"/>
  </r>
  <r>
    <n v="3"/>
    <x v="0"/>
    <s v="Thursday"/>
    <d v="2025-01-16T00:00:00"/>
    <x v="8"/>
    <x v="96"/>
    <x v="3"/>
    <x v="2"/>
  </r>
  <r>
    <n v="3"/>
    <x v="0"/>
    <s v="Thursday"/>
    <d v="2025-01-16T00:00:00"/>
    <x v="9"/>
    <x v="97"/>
    <x v="2"/>
    <x v="1"/>
  </r>
  <r>
    <n v="3"/>
    <x v="0"/>
    <s v="Thursday"/>
    <d v="2025-01-16T00:00:00"/>
    <x v="10"/>
    <x v="98"/>
    <x v="0"/>
    <x v="1"/>
  </r>
  <r>
    <n v="3"/>
    <x v="0"/>
    <s v="Thursday"/>
    <d v="2025-01-16T00:00:00"/>
    <x v="11"/>
    <x v="99"/>
    <x v="2"/>
    <x v="2"/>
  </r>
  <r>
    <n v="3"/>
    <x v="0"/>
    <s v="Thursday"/>
    <d v="2025-01-16T00:00:00"/>
    <x v="12"/>
    <x v="100"/>
    <x v="2"/>
    <x v="1"/>
  </r>
  <r>
    <n v="3"/>
    <x v="0"/>
    <s v="Thursday"/>
    <d v="2025-01-16T00:00:00"/>
    <x v="13"/>
    <x v="101"/>
    <x v="2"/>
    <x v="0"/>
  </r>
  <r>
    <n v="3"/>
    <x v="0"/>
    <s v="Thursday"/>
    <d v="2025-01-16T00:00:00"/>
    <x v="14"/>
    <x v="102"/>
    <x v="2"/>
    <x v="1"/>
  </r>
  <r>
    <n v="3"/>
    <x v="0"/>
    <s v="Thursday"/>
    <d v="2025-01-16T00:00:00"/>
    <x v="15"/>
    <x v="103"/>
    <x v="2"/>
    <x v="2"/>
  </r>
  <r>
    <n v="3"/>
    <x v="0"/>
    <s v="Thursday"/>
    <d v="2025-01-16T00:00:00"/>
    <x v="16"/>
    <x v="104"/>
    <x v="2"/>
    <x v="2"/>
  </r>
  <r>
    <n v="3"/>
    <x v="0"/>
    <s v="Thursday"/>
    <d v="2025-01-16T00:00:00"/>
    <x v="17"/>
    <x v="105"/>
    <x v="1"/>
    <x v="0"/>
  </r>
  <r>
    <n v="3"/>
    <x v="0"/>
    <s v="Thursday"/>
    <d v="2025-01-16T00:00:00"/>
    <x v="18"/>
    <x v="106"/>
    <x v="2"/>
    <x v="2"/>
  </r>
  <r>
    <n v="3"/>
    <x v="0"/>
    <s v="Thursday"/>
    <d v="2025-01-16T00:00:00"/>
    <x v="19"/>
    <x v="107"/>
    <x v="2"/>
    <x v="2"/>
  </r>
  <r>
    <n v="3"/>
    <x v="0"/>
    <s v="Thursday"/>
    <d v="2025-01-16T00:00:00"/>
    <x v="20"/>
    <x v="108"/>
    <x v="2"/>
    <x v="2"/>
  </r>
  <r>
    <n v="3"/>
    <x v="0"/>
    <s v="Thursday"/>
    <d v="2025-01-16T00:00:00"/>
    <x v="21"/>
    <x v="109"/>
    <x v="0"/>
    <x v="2"/>
  </r>
  <r>
    <n v="3"/>
    <x v="0"/>
    <s v="Thursday"/>
    <d v="2025-01-16T00:00:00"/>
    <x v="22"/>
    <x v="110"/>
    <x v="2"/>
    <x v="2"/>
  </r>
  <r>
    <n v="3"/>
    <x v="0"/>
    <s v="Thursday"/>
    <d v="2025-01-16T00:00:00"/>
    <x v="23"/>
    <x v="111"/>
    <x v="2"/>
    <x v="0"/>
  </r>
  <r>
    <n v="3"/>
    <x v="0"/>
    <s v="Thursday"/>
    <d v="2025-01-16T00:00:00"/>
    <x v="24"/>
    <x v="112"/>
    <x v="0"/>
    <x v="2"/>
  </r>
  <r>
    <n v="3"/>
    <x v="0"/>
    <s v="Friday"/>
    <d v="2025-01-17T00:00:00"/>
    <x v="0"/>
    <x v="113"/>
    <x v="2"/>
    <x v="1"/>
  </r>
  <r>
    <n v="3"/>
    <x v="0"/>
    <s v="Friday"/>
    <d v="2025-01-17T00:00:00"/>
    <x v="1"/>
    <x v="114"/>
    <x v="1"/>
    <x v="0"/>
  </r>
  <r>
    <n v="3"/>
    <x v="0"/>
    <s v="Friday"/>
    <d v="2025-01-17T00:00:00"/>
    <x v="2"/>
    <x v="115"/>
    <x v="2"/>
    <x v="1"/>
  </r>
  <r>
    <n v="3"/>
    <x v="0"/>
    <s v="Friday"/>
    <d v="2025-01-17T00:00:00"/>
    <x v="3"/>
    <x v="116"/>
    <x v="2"/>
    <x v="1"/>
  </r>
  <r>
    <n v="3"/>
    <x v="0"/>
    <s v="Friday"/>
    <d v="2025-01-17T00:00:00"/>
    <x v="4"/>
    <x v="117"/>
    <x v="3"/>
    <x v="1"/>
  </r>
  <r>
    <n v="3"/>
    <x v="0"/>
    <s v="Friday"/>
    <d v="2025-01-17T00:00:00"/>
    <x v="5"/>
    <x v="118"/>
    <x v="0"/>
    <x v="2"/>
  </r>
  <r>
    <n v="3"/>
    <x v="0"/>
    <s v="Friday"/>
    <d v="2025-01-17T00:00:00"/>
    <x v="6"/>
    <x v="119"/>
    <x v="2"/>
    <x v="1"/>
  </r>
  <r>
    <n v="3"/>
    <x v="0"/>
    <s v="Friday"/>
    <d v="2025-01-17T00:00:00"/>
    <x v="7"/>
    <x v="120"/>
    <x v="2"/>
    <x v="0"/>
  </r>
  <r>
    <n v="3"/>
    <x v="0"/>
    <s v="Friday"/>
    <d v="2025-01-17T00:00:00"/>
    <x v="8"/>
    <x v="121"/>
    <x v="2"/>
    <x v="2"/>
  </r>
  <r>
    <n v="3"/>
    <x v="0"/>
    <s v="Friday"/>
    <d v="2025-01-17T00:00:00"/>
    <x v="9"/>
    <x v="122"/>
    <x v="1"/>
    <x v="2"/>
  </r>
  <r>
    <n v="3"/>
    <x v="0"/>
    <s v="Friday"/>
    <d v="2025-01-17T00:00:00"/>
    <x v="10"/>
    <x v="123"/>
    <x v="2"/>
    <x v="1"/>
  </r>
  <r>
    <n v="3"/>
    <x v="0"/>
    <s v="Friday"/>
    <d v="2025-01-17T00:00:00"/>
    <x v="11"/>
    <x v="124"/>
    <x v="1"/>
    <x v="2"/>
  </r>
  <r>
    <n v="3"/>
    <x v="0"/>
    <s v="Friday"/>
    <d v="2025-01-17T00:00:00"/>
    <x v="12"/>
    <x v="125"/>
    <x v="2"/>
    <x v="1"/>
  </r>
  <r>
    <n v="3"/>
    <x v="0"/>
    <s v="Friday"/>
    <d v="2025-01-17T00:00:00"/>
    <x v="13"/>
    <x v="126"/>
    <x v="2"/>
    <x v="0"/>
  </r>
  <r>
    <n v="3"/>
    <x v="0"/>
    <s v="Friday"/>
    <d v="2025-01-17T00:00:00"/>
    <x v="14"/>
    <x v="127"/>
    <x v="2"/>
    <x v="2"/>
  </r>
  <r>
    <n v="3"/>
    <x v="0"/>
    <s v="Friday"/>
    <d v="2025-01-17T00:00:00"/>
    <x v="15"/>
    <x v="128"/>
    <x v="2"/>
    <x v="0"/>
  </r>
  <r>
    <n v="3"/>
    <x v="0"/>
    <s v="Friday"/>
    <d v="2025-01-17T00:00:00"/>
    <x v="16"/>
    <x v="129"/>
    <x v="1"/>
    <x v="0"/>
  </r>
  <r>
    <n v="3"/>
    <x v="0"/>
    <s v="Friday"/>
    <d v="2025-01-17T00:00:00"/>
    <x v="17"/>
    <x v="130"/>
    <x v="3"/>
    <x v="2"/>
  </r>
  <r>
    <n v="3"/>
    <x v="0"/>
    <s v="Friday"/>
    <d v="2025-01-17T00:00:00"/>
    <x v="18"/>
    <x v="131"/>
    <x v="2"/>
    <x v="0"/>
  </r>
  <r>
    <n v="3"/>
    <x v="0"/>
    <s v="Friday"/>
    <d v="2025-01-17T00:00:00"/>
    <x v="19"/>
    <x v="132"/>
    <x v="2"/>
    <x v="1"/>
  </r>
  <r>
    <n v="3"/>
    <x v="0"/>
    <s v="Friday"/>
    <d v="2025-01-17T00:00:00"/>
    <x v="20"/>
    <x v="133"/>
    <x v="3"/>
    <x v="0"/>
  </r>
  <r>
    <n v="3"/>
    <x v="0"/>
    <s v="Friday"/>
    <d v="2025-01-17T00:00:00"/>
    <x v="21"/>
    <x v="134"/>
    <x v="3"/>
    <x v="2"/>
  </r>
  <r>
    <n v="3"/>
    <x v="0"/>
    <s v="Friday"/>
    <d v="2025-01-17T00:00:00"/>
    <x v="22"/>
    <x v="135"/>
    <x v="2"/>
    <x v="2"/>
  </r>
  <r>
    <n v="3"/>
    <x v="0"/>
    <s v="Friday"/>
    <d v="2025-01-17T00:00:00"/>
    <x v="23"/>
    <x v="136"/>
    <x v="2"/>
    <x v="1"/>
  </r>
  <r>
    <n v="3"/>
    <x v="0"/>
    <s v="Saturday"/>
    <d v="2025-01-18T00:00:00"/>
    <x v="0"/>
    <x v="137"/>
    <x v="3"/>
    <x v="0"/>
  </r>
  <r>
    <n v="3"/>
    <x v="0"/>
    <s v="Saturday"/>
    <d v="2025-01-18T00:00:00"/>
    <x v="1"/>
    <x v="138"/>
    <x v="2"/>
    <x v="0"/>
  </r>
  <r>
    <n v="3"/>
    <x v="0"/>
    <s v="Saturday"/>
    <d v="2025-01-18T00:00:00"/>
    <x v="2"/>
    <x v="139"/>
    <x v="1"/>
    <x v="0"/>
  </r>
  <r>
    <n v="3"/>
    <x v="0"/>
    <s v="Saturday"/>
    <d v="2025-01-18T00:00:00"/>
    <x v="3"/>
    <x v="140"/>
    <x v="2"/>
    <x v="0"/>
  </r>
  <r>
    <n v="3"/>
    <x v="0"/>
    <s v="Saturday"/>
    <d v="2025-01-18T00:00:00"/>
    <x v="4"/>
    <x v="141"/>
    <x v="2"/>
    <x v="1"/>
  </r>
  <r>
    <n v="3"/>
    <x v="0"/>
    <s v="Saturday"/>
    <d v="2025-01-18T00:00:00"/>
    <x v="5"/>
    <x v="142"/>
    <x v="2"/>
    <x v="0"/>
  </r>
  <r>
    <n v="3"/>
    <x v="0"/>
    <s v="Saturday"/>
    <d v="2025-01-18T00:00:00"/>
    <x v="6"/>
    <x v="143"/>
    <x v="2"/>
    <x v="1"/>
  </r>
  <r>
    <n v="3"/>
    <x v="0"/>
    <s v="Saturday"/>
    <d v="2025-01-18T00:00:00"/>
    <x v="7"/>
    <x v="144"/>
    <x v="3"/>
    <x v="1"/>
  </r>
  <r>
    <n v="3"/>
    <x v="0"/>
    <s v="Saturday"/>
    <d v="2025-01-18T00:00:00"/>
    <x v="8"/>
    <x v="145"/>
    <x v="2"/>
    <x v="1"/>
  </r>
  <r>
    <n v="3"/>
    <x v="0"/>
    <s v="Saturday"/>
    <d v="2025-01-18T00:00:00"/>
    <x v="9"/>
    <x v="146"/>
    <x v="3"/>
    <x v="1"/>
  </r>
  <r>
    <n v="3"/>
    <x v="0"/>
    <s v="Saturday"/>
    <d v="2025-01-18T00:00:00"/>
    <x v="10"/>
    <x v="147"/>
    <x v="2"/>
    <x v="1"/>
  </r>
  <r>
    <n v="3"/>
    <x v="0"/>
    <s v="Saturday"/>
    <d v="2025-01-18T00:00:00"/>
    <x v="11"/>
    <x v="148"/>
    <x v="2"/>
    <x v="0"/>
  </r>
  <r>
    <n v="3"/>
    <x v="0"/>
    <s v="Saturday"/>
    <d v="2025-01-18T00:00:00"/>
    <x v="12"/>
    <x v="149"/>
    <x v="2"/>
    <x v="1"/>
  </r>
  <r>
    <n v="3"/>
    <x v="0"/>
    <s v="Saturday"/>
    <d v="2025-01-18T00:00:00"/>
    <x v="13"/>
    <x v="150"/>
    <x v="1"/>
    <x v="2"/>
  </r>
  <r>
    <n v="3"/>
    <x v="0"/>
    <s v="Saturday"/>
    <d v="2025-01-18T00:00:00"/>
    <x v="14"/>
    <x v="151"/>
    <x v="3"/>
    <x v="1"/>
  </r>
  <r>
    <n v="3"/>
    <x v="0"/>
    <s v="Saturday"/>
    <d v="2025-01-18T00:00:00"/>
    <x v="15"/>
    <x v="152"/>
    <x v="2"/>
    <x v="1"/>
  </r>
  <r>
    <n v="3"/>
    <x v="0"/>
    <s v="Saturday"/>
    <d v="2025-01-18T00:00:00"/>
    <x v="16"/>
    <x v="153"/>
    <x v="2"/>
    <x v="1"/>
  </r>
  <r>
    <n v="3"/>
    <x v="0"/>
    <s v="Saturday"/>
    <d v="2025-01-18T00:00:00"/>
    <x v="17"/>
    <x v="154"/>
    <x v="2"/>
    <x v="2"/>
  </r>
  <r>
    <n v="3"/>
    <x v="0"/>
    <s v="Saturday"/>
    <d v="2025-01-18T00:00:00"/>
    <x v="18"/>
    <x v="155"/>
    <x v="0"/>
    <x v="2"/>
  </r>
  <r>
    <n v="3"/>
    <x v="0"/>
    <s v="Saturday"/>
    <d v="2025-01-18T00:00:00"/>
    <x v="19"/>
    <x v="156"/>
    <x v="1"/>
    <x v="0"/>
  </r>
  <r>
    <n v="3"/>
    <x v="0"/>
    <s v="Saturday"/>
    <d v="2025-01-18T00:00:00"/>
    <x v="20"/>
    <x v="157"/>
    <x v="3"/>
    <x v="1"/>
  </r>
  <r>
    <n v="3"/>
    <x v="0"/>
    <s v="Saturday"/>
    <d v="2025-01-18T00:00:00"/>
    <x v="21"/>
    <x v="158"/>
    <x v="2"/>
    <x v="1"/>
  </r>
  <r>
    <n v="3"/>
    <x v="0"/>
    <s v="Saturday"/>
    <d v="2025-01-18T00:00:00"/>
    <x v="22"/>
    <x v="159"/>
    <x v="1"/>
    <x v="2"/>
  </r>
  <r>
    <n v="4"/>
    <x v="0"/>
    <s v="Tuesday"/>
    <d v="2025-01-21T00:00:00"/>
    <x v="0"/>
    <x v="160"/>
    <x v="1"/>
    <x v="0"/>
  </r>
  <r>
    <n v="4"/>
    <x v="0"/>
    <s v="Tuesday"/>
    <d v="2025-01-21T00:00:00"/>
    <x v="1"/>
    <x v="161"/>
    <x v="3"/>
    <x v="1"/>
  </r>
  <r>
    <n v="4"/>
    <x v="0"/>
    <s v="Tuesday"/>
    <d v="2025-01-21T00:00:00"/>
    <x v="2"/>
    <x v="162"/>
    <x v="2"/>
    <x v="1"/>
  </r>
  <r>
    <n v="4"/>
    <x v="0"/>
    <s v="Tuesday"/>
    <d v="2025-01-21T00:00:00"/>
    <x v="3"/>
    <x v="163"/>
    <x v="2"/>
    <x v="0"/>
  </r>
  <r>
    <n v="4"/>
    <x v="0"/>
    <s v="Tuesday"/>
    <d v="2025-01-21T00:00:00"/>
    <x v="4"/>
    <x v="164"/>
    <x v="2"/>
    <x v="1"/>
  </r>
  <r>
    <n v="4"/>
    <x v="0"/>
    <s v="Tuesday"/>
    <d v="2025-01-21T00:00:00"/>
    <x v="5"/>
    <x v="165"/>
    <x v="2"/>
    <x v="1"/>
  </r>
  <r>
    <n v="4"/>
    <x v="0"/>
    <s v="Tuesday"/>
    <d v="2025-01-21T00:00:00"/>
    <x v="6"/>
    <x v="166"/>
    <x v="2"/>
    <x v="1"/>
  </r>
  <r>
    <n v="4"/>
    <x v="0"/>
    <s v="Tuesday"/>
    <d v="2025-01-21T00:00:00"/>
    <x v="7"/>
    <x v="167"/>
    <x v="2"/>
    <x v="0"/>
  </r>
  <r>
    <n v="4"/>
    <x v="0"/>
    <s v="Tuesday"/>
    <d v="2025-01-21T00:00:00"/>
    <x v="8"/>
    <x v="168"/>
    <x v="2"/>
    <x v="0"/>
  </r>
  <r>
    <n v="4"/>
    <x v="0"/>
    <s v="Tuesday"/>
    <d v="2025-01-21T00:00:00"/>
    <x v="9"/>
    <x v="169"/>
    <x v="2"/>
    <x v="1"/>
  </r>
  <r>
    <n v="4"/>
    <x v="0"/>
    <s v="Tuesday"/>
    <d v="2025-01-21T00:00:00"/>
    <x v="10"/>
    <x v="170"/>
    <x v="2"/>
    <x v="1"/>
  </r>
  <r>
    <n v="4"/>
    <x v="0"/>
    <s v="Tuesday"/>
    <d v="2025-01-21T00:00:00"/>
    <x v="11"/>
    <x v="171"/>
    <x v="1"/>
    <x v="1"/>
  </r>
  <r>
    <n v="4"/>
    <x v="0"/>
    <s v="Tuesday"/>
    <d v="2025-01-21T00:00:00"/>
    <x v="12"/>
    <x v="172"/>
    <x v="2"/>
    <x v="1"/>
  </r>
  <r>
    <n v="4"/>
    <x v="0"/>
    <s v="Tuesday"/>
    <d v="2025-01-21T00:00:00"/>
    <x v="13"/>
    <x v="173"/>
    <x v="1"/>
    <x v="0"/>
  </r>
  <r>
    <n v="4"/>
    <x v="0"/>
    <s v="Tuesday"/>
    <d v="2025-01-21T00:00:00"/>
    <x v="14"/>
    <x v="171"/>
    <x v="1"/>
    <x v="1"/>
  </r>
  <r>
    <n v="4"/>
    <x v="0"/>
    <s v="Tuesday"/>
    <d v="2025-01-21T00:00:00"/>
    <x v="15"/>
    <x v="174"/>
    <x v="2"/>
    <x v="2"/>
  </r>
  <r>
    <n v="4"/>
    <x v="0"/>
    <s v="Tuesday"/>
    <d v="2025-01-21T00:00:00"/>
    <x v="16"/>
    <x v="175"/>
    <x v="0"/>
    <x v="0"/>
  </r>
  <r>
    <n v="4"/>
    <x v="0"/>
    <s v="Tuesday"/>
    <d v="2025-01-21T00:00:00"/>
    <x v="17"/>
    <x v="176"/>
    <x v="0"/>
    <x v="0"/>
  </r>
  <r>
    <n v="4"/>
    <x v="0"/>
    <s v="Tuesday"/>
    <d v="2025-01-21T00:00:00"/>
    <x v="18"/>
    <x v="177"/>
    <x v="2"/>
    <x v="0"/>
  </r>
  <r>
    <n v="4"/>
    <x v="0"/>
    <s v="Tuesday"/>
    <d v="2025-01-21T00:00:00"/>
    <x v="19"/>
    <x v="178"/>
    <x v="1"/>
    <x v="0"/>
  </r>
  <r>
    <n v="4"/>
    <x v="0"/>
    <s v="Tuesday"/>
    <d v="2025-01-21T00:00:00"/>
    <x v="20"/>
    <x v="179"/>
    <x v="2"/>
    <x v="1"/>
  </r>
  <r>
    <n v="4"/>
    <x v="0"/>
    <s v="Tuesday"/>
    <d v="2025-01-21T00:00:00"/>
    <x v="21"/>
    <x v="180"/>
    <x v="0"/>
    <x v="0"/>
  </r>
  <r>
    <n v="4"/>
    <x v="0"/>
    <s v="Tuesday"/>
    <d v="2025-01-21T00:00:00"/>
    <x v="22"/>
    <x v="181"/>
    <x v="3"/>
    <x v="1"/>
  </r>
  <r>
    <n v="4"/>
    <x v="0"/>
    <s v="Tuesday"/>
    <d v="2025-01-21T00:00:00"/>
    <x v="23"/>
    <x v="182"/>
    <x v="2"/>
    <x v="1"/>
  </r>
  <r>
    <n v="4"/>
    <x v="0"/>
    <s v="Tuesday"/>
    <d v="2025-01-21T00:00:00"/>
    <x v="24"/>
    <x v="183"/>
    <x v="2"/>
    <x v="0"/>
  </r>
  <r>
    <n v="4"/>
    <x v="0"/>
    <s v="Tuesday"/>
    <d v="2025-01-21T00:00:00"/>
    <x v="25"/>
    <x v="184"/>
    <x v="1"/>
    <x v="0"/>
  </r>
  <r>
    <n v="4"/>
    <x v="0"/>
    <s v="Tuesday"/>
    <d v="2025-01-21T00:00:00"/>
    <x v="26"/>
    <x v="185"/>
    <x v="2"/>
    <x v="2"/>
  </r>
  <r>
    <n v="4"/>
    <x v="0"/>
    <s v="Wednesday"/>
    <d v="2025-01-22T00:00:00"/>
    <x v="0"/>
    <x v="186"/>
    <x v="2"/>
    <x v="1"/>
  </r>
  <r>
    <n v="4"/>
    <x v="0"/>
    <s v="Wednesday"/>
    <d v="2025-01-22T00:00:00"/>
    <x v="1"/>
    <x v="187"/>
    <x v="2"/>
    <x v="1"/>
  </r>
  <r>
    <n v="4"/>
    <x v="0"/>
    <s v="Wednesday"/>
    <d v="2025-01-22T00:00:00"/>
    <x v="2"/>
    <x v="188"/>
    <x v="2"/>
    <x v="0"/>
  </r>
  <r>
    <n v="4"/>
    <x v="0"/>
    <s v="Wednesday"/>
    <d v="2025-01-22T00:00:00"/>
    <x v="3"/>
    <x v="189"/>
    <x v="2"/>
    <x v="0"/>
  </r>
  <r>
    <n v="4"/>
    <x v="0"/>
    <s v="Wednesday"/>
    <d v="2025-01-22T00:00:00"/>
    <x v="4"/>
    <x v="190"/>
    <x v="3"/>
    <x v="1"/>
  </r>
  <r>
    <n v="4"/>
    <x v="0"/>
    <s v="Wednesday"/>
    <d v="2025-01-22T00:00:00"/>
    <x v="5"/>
    <x v="191"/>
    <x v="2"/>
    <x v="1"/>
  </r>
  <r>
    <n v="4"/>
    <x v="0"/>
    <s v="Wednesday"/>
    <d v="2025-01-22T00:00:00"/>
    <x v="6"/>
    <x v="192"/>
    <x v="0"/>
    <x v="0"/>
  </r>
  <r>
    <n v="4"/>
    <x v="0"/>
    <s v="Wednesday"/>
    <d v="2025-01-22T00:00:00"/>
    <x v="7"/>
    <x v="193"/>
    <x v="2"/>
    <x v="2"/>
  </r>
  <r>
    <n v="4"/>
    <x v="0"/>
    <s v="Wednesday"/>
    <d v="2025-01-22T00:00:00"/>
    <x v="8"/>
    <x v="194"/>
    <x v="2"/>
    <x v="0"/>
  </r>
  <r>
    <n v="4"/>
    <x v="0"/>
    <s v="Wednesday"/>
    <d v="2025-01-22T00:00:00"/>
    <x v="9"/>
    <x v="195"/>
    <x v="2"/>
    <x v="0"/>
  </r>
  <r>
    <n v="4"/>
    <x v="0"/>
    <s v="Wednesday"/>
    <d v="2025-01-22T00:00:00"/>
    <x v="10"/>
    <x v="196"/>
    <x v="2"/>
    <x v="2"/>
  </r>
  <r>
    <n v="4"/>
    <x v="0"/>
    <s v="Wednesday"/>
    <d v="2025-01-22T00:00:00"/>
    <x v="11"/>
    <x v="197"/>
    <x v="2"/>
    <x v="1"/>
  </r>
  <r>
    <n v="4"/>
    <x v="0"/>
    <s v="Wednesday"/>
    <d v="2025-01-22T00:00:00"/>
    <x v="12"/>
    <x v="198"/>
    <x v="3"/>
    <x v="1"/>
  </r>
  <r>
    <n v="4"/>
    <x v="0"/>
    <s v="Wednesday"/>
    <d v="2025-01-22T00:00:00"/>
    <x v="13"/>
    <x v="199"/>
    <x v="2"/>
    <x v="0"/>
  </r>
  <r>
    <n v="4"/>
    <x v="0"/>
    <s v="Wednesday"/>
    <d v="2025-01-22T00:00:00"/>
    <x v="14"/>
    <x v="200"/>
    <x v="1"/>
    <x v="0"/>
  </r>
  <r>
    <n v="4"/>
    <x v="0"/>
    <s v="Wednesday"/>
    <d v="2025-01-22T00:00:00"/>
    <x v="15"/>
    <x v="201"/>
    <x v="0"/>
    <x v="2"/>
  </r>
  <r>
    <n v="4"/>
    <x v="0"/>
    <s v="Wednesday"/>
    <d v="2025-01-22T00:00:00"/>
    <x v="16"/>
    <x v="202"/>
    <x v="3"/>
    <x v="1"/>
  </r>
  <r>
    <n v="4"/>
    <x v="0"/>
    <s v="Wednesday"/>
    <d v="2025-01-22T00:00:00"/>
    <x v="17"/>
    <x v="203"/>
    <x v="2"/>
    <x v="2"/>
  </r>
  <r>
    <n v="4"/>
    <x v="0"/>
    <s v="Wednesday"/>
    <d v="2025-01-22T00:00:00"/>
    <x v="18"/>
    <x v="204"/>
    <x v="2"/>
    <x v="1"/>
  </r>
  <r>
    <n v="4"/>
    <x v="0"/>
    <s v="Wednesday"/>
    <d v="2025-01-22T00:00:00"/>
    <x v="19"/>
    <x v="129"/>
    <x v="1"/>
    <x v="0"/>
  </r>
  <r>
    <n v="4"/>
    <x v="0"/>
    <s v="Wednesday"/>
    <d v="2025-01-22T00:00:00"/>
    <x v="20"/>
    <x v="205"/>
    <x v="2"/>
    <x v="1"/>
  </r>
  <r>
    <n v="4"/>
    <x v="0"/>
    <s v="Wednesday"/>
    <d v="2025-01-22T00:00:00"/>
    <x v="21"/>
    <x v="206"/>
    <x v="3"/>
    <x v="0"/>
  </r>
  <r>
    <n v="4"/>
    <x v="0"/>
    <s v="Wednesday"/>
    <d v="2025-01-22T00:00:00"/>
    <x v="22"/>
    <x v="207"/>
    <x v="0"/>
    <x v="0"/>
  </r>
  <r>
    <n v="4"/>
    <x v="0"/>
    <s v="Wednesday"/>
    <d v="2025-01-22T00:00:00"/>
    <x v="23"/>
    <x v="208"/>
    <x v="3"/>
    <x v="0"/>
  </r>
  <r>
    <n v="4"/>
    <x v="0"/>
    <s v="Wednesday"/>
    <d v="2025-01-22T00:00:00"/>
    <x v="24"/>
    <x v="209"/>
    <x v="3"/>
    <x v="1"/>
  </r>
  <r>
    <n v="4"/>
    <x v="0"/>
    <s v="Thursday"/>
    <d v="2025-01-23T00:00:00"/>
    <x v="0"/>
    <x v="210"/>
    <x v="3"/>
    <x v="0"/>
  </r>
  <r>
    <n v="4"/>
    <x v="0"/>
    <s v="Thursday"/>
    <d v="2025-01-23T00:00:00"/>
    <x v="1"/>
    <x v="211"/>
    <x v="2"/>
    <x v="0"/>
  </r>
  <r>
    <n v="4"/>
    <x v="0"/>
    <s v="Thursday"/>
    <d v="2025-01-23T00:00:00"/>
    <x v="2"/>
    <x v="212"/>
    <x v="0"/>
    <x v="2"/>
  </r>
  <r>
    <n v="4"/>
    <x v="0"/>
    <s v="Thursday"/>
    <d v="2025-01-23T00:00:00"/>
    <x v="3"/>
    <x v="213"/>
    <x v="2"/>
    <x v="1"/>
  </r>
  <r>
    <n v="4"/>
    <x v="0"/>
    <s v="Thursday"/>
    <d v="2025-01-23T00:00:00"/>
    <x v="4"/>
    <x v="214"/>
    <x v="0"/>
    <x v="0"/>
  </r>
  <r>
    <n v="4"/>
    <x v="0"/>
    <s v="Thursday"/>
    <d v="2025-01-23T00:00:00"/>
    <x v="5"/>
    <x v="215"/>
    <x v="3"/>
    <x v="1"/>
  </r>
  <r>
    <n v="4"/>
    <x v="0"/>
    <s v="Thursday"/>
    <d v="2025-01-23T00:00:00"/>
    <x v="6"/>
    <x v="216"/>
    <x v="2"/>
    <x v="1"/>
  </r>
  <r>
    <n v="4"/>
    <x v="0"/>
    <s v="Thursday"/>
    <d v="2025-01-23T00:00:00"/>
    <x v="7"/>
    <x v="217"/>
    <x v="2"/>
    <x v="1"/>
  </r>
  <r>
    <n v="4"/>
    <x v="0"/>
    <s v="Thursday"/>
    <d v="2025-01-23T00:00:00"/>
    <x v="8"/>
    <x v="218"/>
    <x v="2"/>
    <x v="1"/>
  </r>
  <r>
    <n v="4"/>
    <x v="0"/>
    <s v="Thursday"/>
    <d v="2025-01-23T00:00:00"/>
    <x v="9"/>
    <x v="219"/>
    <x v="2"/>
    <x v="2"/>
  </r>
  <r>
    <n v="4"/>
    <x v="0"/>
    <s v="Thursday"/>
    <d v="2025-01-23T00:00:00"/>
    <x v="10"/>
    <x v="220"/>
    <x v="2"/>
    <x v="2"/>
  </r>
  <r>
    <n v="4"/>
    <x v="0"/>
    <s v="Thursday"/>
    <d v="2025-01-23T00:00:00"/>
    <x v="11"/>
    <x v="208"/>
    <x v="2"/>
    <x v="1"/>
  </r>
  <r>
    <n v="4"/>
    <x v="0"/>
    <s v="Thursday"/>
    <d v="2025-01-23T00:00:00"/>
    <x v="12"/>
    <x v="206"/>
    <x v="2"/>
    <x v="1"/>
  </r>
  <r>
    <n v="4"/>
    <x v="0"/>
    <s v="Thursday"/>
    <d v="2025-01-23T00:00:00"/>
    <x v="13"/>
    <x v="221"/>
    <x v="2"/>
    <x v="0"/>
  </r>
  <r>
    <n v="4"/>
    <x v="0"/>
    <s v="Thursday"/>
    <d v="2025-01-23T00:00:00"/>
    <x v="14"/>
    <x v="76"/>
    <x v="3"/>
    <x v="1"/>
  </r>
  <r>
    <n v="4"/>
    <x v="0"/>
    <s v="Thursday"/>
    <d v="2025-01-23T00:00:00"/>
    <x v="15"/>
    <x v="222"/>
    <x v="0"/>
    <x v="0"/>
  </r>
  <r>
    <n v="4"/>
    <x v="0"/>
    <s v="Thursday"/>
    <d v="2025-01-23T00:00:00"/>
    <x v="16"/>
    <x v="223"/>
    <x v="2"/>
    <x v="1"/>
  </r>
  <r>
    <n v="4"/>
    <x v="0"/>
    <s v="Thursday"/>
    <d v="2025-01-23T00:00:00"/>
    <x v="17"/>
    <x v="224"/>
    <x v="2"/>
    <x v="2"/>
  </r>
  <r>
    <n v="4"/>
    <x v="0"/>
    <s v="Thursday"/>
    <d v="2025-01-23T00:00:00"/>
    <x v="18"/>
    <x v="225"/>
    <x v="2"/>
    <x v="2"/>
  </r>
  <r>
    <n v="4"/>
    <x v="0"/>
    <s v="Thursday"/>
    <d v="2025-01-23T00:00:00"/>
    <x v="19"/>
    <x v="226"/>
    <x v="0"/>
    <x v="2"/>
  </r>
  <r>
    <n v="4"/>
    <x v="0"/>
    <s v="Thursday"/>
    <d v="2025-01-23T00:00:00"/>
    <x v="20"/>
    <x v="227"/>
    <x v="2"/>
    <x v="1"/>
  </r>
  <r>
    <n v="4"/>
    <x v="0"/>
    <s v="Thursday"/>
    <d v="2025-01-23T00:00:00"/>
    <x v="21"/>
    <x v="213"/>
    <x v="2"/>
    <x v="1"/>
  </r>
  <r>
    <n v="4"/>
    <x v="0"/>
    <s v="Thursday"/>
    <d v="2025-01-23T00:00:00"/>
    <x v="22"/>
    <x v="215"/>
    <x v="2"/>
    <x v="1"/>
  </r>
  <r>
    <n v="4"/>
    <x v="0"/>
    <s v="Thursday"/>
    <d v="2025-01-23T00:00:00"/>
    <x v="23"/>
    <x v="228"/>
    <x v="0"/>
    <x v="2"/>
  </r>
  <r>
    <n v="4"/>
    <x v="0"/>
    <s v="Thursday"/>
    <d v="2025-01-23T00:00:00"/>
    <x v="24"/>
    <x v="229"/>
    <x v="2"/>
    <x v="2"/>
  </r>
  <r>
    <n v="4"/>
    <x v="0"/>
    <s v="Friday"/>
    <d v="2025-01-24T00:00:00"/>
    <x v="0"/>
    <x v="230"/>
    <x v="2"/>
    <x v="0"/>
  </r>
  <r>
    <n v="4"/>
    <x v="0"/>
    <s v="Friday"/>
    <d v="2025-01-24T00:00:00"/>
    <x v="1"/>
    <x v="231"/>
    <x v="0"/>
    <x v="0"/>
  </r>
  <r>
    <n v="4"/>
    <x v="0"/>
    <s v="Friday"/>
    <d v="2025-01-24T00:00:00"/>
    <x v="2"/>
    <x v="232"/>
    <x v="2"/>
    <x v="2"/>
  </r>
  <r>
    <n v="4"/>
    <x v="0"/>
    <s v="Friday"/>
    <d v="2025-01-24T00:00:00"/>
    <x v="3"/>
    <x v="233"/>
    <x v="1"/>
    <x v="0"/>
  </r>
  <r>
    <n v="4"/>
    <x v="0"/>
    <s v="Friday"/>
    <d v="2025-01-24T00:00:00"/>
    <x v="4"/>
    <x v="234"/>
    <x v="2"/>
    <x v="1"/>
  </r>
  <r>
    <n v="4"/>
    <x v="0"/>
    <s v="Friday"/>
    <d v="2025-01-24T00:00:00"/>
    <x v="5"/>
    <x v="235"/>
    <x v="0"/>
    <x v="0"/>
  </r>
  <r>
    <n v="4"/>
    <x v="0"/>
    <s v="Friday"/>
    <d v="2025-01-24T00:00:00"/>
    <x v="6"/>
    <x v="236"/>
    <x v="3"/>
    <x v="1"/>
  </r>
  <r>
    <n v="4"/>
    <x v="0"/>
    <s v="Friday"/>
    <d v="2025-01-24T00:00:00"/>
    <x v="7"/>
    <x v="237"/>
    <x v="2"/>
    <x v="2"/>
  </r>
  <r>
    <n v="4"/>
    <x v="0"/>
    <s v="Friday"/>
    <d v="2025-01-24T00:00:00"/>
    <x v="8"/>
    <x v="238"/>
    <x v="2"/>
    <x v="2"/>
  </r>
  <r>
    <n v="4"/>
    <x v="0"/>
    <s v="Friday"/>
    <d v="2025-01-24T00:00:00"/>
    <x v="9"/>
    <x v="239"/>
    <x v="0"/>
    <x v="0"/>
  </r>
  <r>
    <n v="4"/>
    <x v="0"/>
    <s v="Friday"/>
    <d v="2025-01-24T00:00:00"/>
    <x v="10"/>
    <x v="240"/>
    <x v="2"/>
    <x v="2"/>
  </r>
  <r>
    <n v="4"/>
    <x v="0"/>
    <s v="Friday"/>
    <d v="2025-01-24T00:00:00"/>
    <x v="11"/>
    <x v="241"/>
    <x v="2"/>
    <x v="2"/>
  </r>
  <r>
    <n v="4"/>
    <x v="0"/>
    <s v="Friday"/>
    <d v="2025-01-24T00:00:00"/>
    <x v="12"/>
    <x v="242"/>
    <x v="1"/>
    <x v="0"/>
  </r>
  <r>
    <n v="4"/>
    <x v="0"/>
    <s v="Friday"/>
    <d v="2025-01-24T00:00:00"/>
    <x v="13"/>
    <x v="243"/>
    <x v="2"/>
    <x v="1"/>
  </r>
  <r>
    <n v="4"/>
    <x v="0"/>
    <s v="Friday"/>
    <d v="2025-01-24T00:00:00"/>
    <x v="14"/>
    <x v="244"/>
    <x v="3"/>
    <x v="1"/>
  </r>
  <r>
    <n v="4"/>
    <x v="0"/>
    <s v="Friday"/>
    <d v="2025-01-24T00:00:00"/>
    <x v="15"/>
    <x v="245"/>
    <x v="2"/>
    <x v="2"/>
  </r>
  <r>
    <n v="4"/>
    <x v="0"/>
    <s v="Friday"/>
    <d v="2025-01-24T00:00:00"/>
    <x v="16"/>
    <x v="242"/>
    <x v="1"/>
    <x v="0"/>
  </r>
  <r>
    <n v="4"/>
    <x v="0"/>
    <s v="Friday"/>
    <d v="2025-01-24T00:00:00"/>
    <x v="17"/>
    <x v="246"/>
    <x v="2"/>
    <x v="1"/>
  </r>
  <r>
    <n v="4"/>
    <x v="0"/>
    <s v="Friday"/>
    <d v="2025-01-24T00:00:00"/>
    <x v="18"/>
    <x v="247"/>
    <x v="0"/>
    <x v="0"/>
  </r>
  <r>
    <n v="4"/>
    <x v="0"/>
    <s v="Friday"/>
    <d v="2025-01-24T00:00:00"/>
    <x v="19"/>
    <x v="248"/>
    <x v="0"/>
    <x v="0"/>
  </r>
  <r>
    <n v="4"/>
    <x v="0"/>
    <s v="Friday"/>
    <d v="2025-01-24T00:00:00"/>
    <x v="20"/>
    <x v="249"/>
    <x v="1"/>
    <x v="2"/>
  </r>
  <r>
    <n v="4"/>
    <x v="0"/>
    <s v="Saturday"/>
    <d v="2025-01-25T00:00:00"/>
    <x v="0"/>
    <x v="250"/>
    <x v="2"/>
    <x v="0"/>
  </r>
  <r>
    <n v="4"/>
    <x v="0"/>
    <s v="Saturday"/>
    <d v="2025-01-25T00:00:00"/>
    <x v="1"/>
    <x v="251"/>
    <x v="2"/>
    <x v="1"/>
  </r>
  <r>
    <n v="4"/>
    <x v="0"/>
    <s v="Saturday"/>
    <d v="2025-01-25T00:00:00"/>
    <x v="2"/>
    <x v="252"/>
    <x v="3"/>
    <x v="1"/>
  </r>
  <r>
    <n v="4"/>
    <x v="0"/>
    <s v="Saturday"/>
    <d v="2025-01-25T00:00:00"/>
    <x v="3"/>
    <x v="253"/>
    <x v="2"/>
    <x v="1"/>
  </r>
  <r>
    <n v="4"/>
    <x v="0"/>
    <s v="Saturday"/>
    <d v="2025-01-25T00:00:00"/>
    <x v="4"/>
    <x v="254"/>
    <x v="0"/>
    <x v="1"/>
  </r>
  <r>
    <n v="4"/>
    <x v="0"/>
    <s v="Saturday"/>
    <d v="2025-01-25T00:00:00"/>
    <x v="5"/>
    <x v="255"/>
    <x v="2"/>
    <x v="1"/>
  </r>
  <r>
    <n v="4"/>
    <x v="0"/>
    <s v="Saturday"/>
    <d v="2025-01-25T00:00:00"/>
    <x v="6"/>
    <x v="256"/>
    <x v="0"/>
    <x v="0"/>
  </r>
  <r>
    <n v="4"/>
    <x v="0"/>
    <s v="Saturday"/>
    <d v="2025-01-25T00:00:00"/>
    <x v="7"/>
    <x v="257"/>
    <x v="3"/>
    <x v="0"/>
  </r>
  <r>
    <n v="4"/>
    <x v="0"/>
    <s v="Saturday"/>
    <d v="2025-01-25T00:00:00"/>
    <x v="8"/>
    <x v="258"/>
    <x v="1"/>
    <x v="1"/>
  </r>
  <r>
    <n v="4"/>
    <x v="0"/>
    <s v="Saturday"/>
    <d v="2025-01-25T00:00:00"/>
    <x v="9"/>
    <x v="259"/>
    <x v="2"/>
    <x v="2"/>
  </r>
  <r>
    <n v="4"/>
    <x v="0"/>
    <s v="Saturday"/>
    <d v="2025-01-25T00:00:00"/>
    <x v="10"/>
    <x v="260"/>
    <x v="2"/>
    <x v="0"/>
  </r>
  <r>
    <n v="4"/>
    <x v="0"/>
    <s v="Saturday"/>
    <d v="2025-01-25T00:00:00"/>
    <x v="11"/>
    <x v="261"/>
    <x v="3"/>
    <x v="1"/>
  </r>
  <r>
    <n v="4"/>
    <x v="0"/>
    <s v="Saturday"/>
    <d v="2025-01-25T00:00:00"/>
    <x v="12"/>
    <x v="262"/>
    <x v="3"/>
    <x v="1"/>
  </r>
  <r>
    <n v="4"/>
    <x v="0"/>
    <s v="Saturday"/>
    <d v="2025-01-25T00:00:00"/>
    <x v="13"/>
    <x v="263"/>
    <x v="2"/>
    <x v="1"/>
  </r>
  <r>
    <n v="4"/>
    <x v="0"/>
    <s v="Saturday"/>
    <d v="2025-01-25T00:00:00"/>
    <x v="14"/>
    <x v="264"/>
    <x v="1"/>
    <x v="1"/>
  </r>
  <r>
    <n v="4"/>
    <x v="0"/>
    <s v="Saturday"/>
    <d v="2025-01-25T00:00:00"/>
    <x v="15"/>
    <x v="265"/>
    <x v="0"/>
    <x v="0"/>
  </r>
  <r>
    <n v="4"/>
    <x v="0"/>
    <s v="Saturday"/>
    <d v="2025-01-25T00:00:00"/>
    <x v="16"/>
    <x v="266"/>
    <x v="2"/>
    <x v="0"/>
  </r>
  <r>
    <n v="4"/>
    <x v="0"/>
    <s v="Saturday"/>
    <d v="2025-01-25T00:00:00"/>
    <x v="17"/>
    <x v="267"/>
    <x v="2"/>
    <x v="1"/>
  </r>
  <r>
    <n v="4"/>
    <x v="0"/>
    <s v="Saturday"/>
    <d v="2025-01-25T00:00:00"/>
    <x v="18"/>
    <x v="268"/>
    <x v="2"/>
    <x v="1"/>
  </r>
  <r>
    <n v="4"/>
    <x v="0"/>
    <s v="Saturday"/>
    <d v="2025-01-25T00:00:00"/>
    <x v="19"/>
    <x v="269"/>
    <x v="2"/>
    <x v="1"/>
  </r>
  <r>
    <n v="4"/>
    <x v="0"/>
    <s v="Saturday"/>
    <d v="2025-01-25T00:00:00"/>
    <x v="20"/>
    <x v="270"/>
    <x v="0"/>
    <x v="0"/>
  </r>
  <r>
    <n v="4"/>
    <x v="0"/>
    <s v="Saturday"/>
    <d v="2025-01-25T00:00:00"/>
    <x v="21"/>
    <x v="271"/>
    <x v="2"/>
    <x v="1"/>
  </r>
  <r>
    <n v="4"/>
    <x v="0"/>
    <s v="Saturday"/>
    <d v="2025-01-25T00:00:00"/>
    <x v="22"/>
    <x v="272"/>
    <x v="2"/>
    <x v="2"/>
  </r>
  <r>
    <n v="4"/>
    <x v="0"/>
    <s v="Saturday"/>
    <d v="2025-01-25T00:00:00"/>
    <x v="23"/>
    <x v="261"/>
    <x v="2"/>
    <x v="1"/>
  </r>
  <r>
    <n v="5"/>
    <x v="0"/>
    <s v="Tuesday"/>
    <d v="2025-01-28T00:00:00"/>
    <x v="0"/>
    <x v="273"/>
    <x v="2"/>
    <x v="1"/>
  </r>
  <r>
    <n v="5"/>
    <x v="0"/>
    <s v="Tuesday"/>
    <d v="2025-01-28T00:00:00"/>
    <x v="1"/>
    <x v="274"/>
    <x v="2"/>
    <x v="1"/>
  </r>
  <r>
    <n v="5"/>
    <x v="0"/>
    <s v="Tuesday"/>
    <d v="2025-01-28T00:00:00"/>
    <x v="2"/>
    <x v="275"/>
    <x v="2"/>
    <x v="1"/>
  </r>
  <r>
    <n v="5"/>
    <x v="0"/>
    <s v="Tuesday"/>
    <d v="2025-01-28T00:00:00"/>
    <x v="3"/>
    <x v="276"/>
    <x v="2"/>
    <x v="1"/>
  </r>
  <r>
    <n v="5"/>
    <x v="0"/>
    <s v="Tuesday"/>
    <d v="2025-01-28T00:00:00"/>
    <x v="4"/>
    <x v="277"/>
    <x v="3"/>
    <x v="1"/>
  </r>
  <r>
    <n v="5"/>
    <x v="0"/>
    <s v="Tuesday"/>
    <d v="2025-01-28T00:00:00"/>
    <x v="5"/>
    <x v="278"/>
    <x v="1"/>
    <x v="0"/>
  </r>
  <r>
    <n v="5"/>
    <x v="0"/>
    <s v="Tuesday"/>
    <d v="2025-01-28T00:00:00"/>
    <x v="6"/>
    <x v="279"/>
    <x v="2"/>
    <x v="2"/>
  </r>
  <r>
    <n v="5"/>
    <x v="0"/>
    <s v="Tuesday"/>
    <d v="2025-01-28T00:00:00"/>
    <x v="7"/>
    <x v="280"/>
    <x v="1"/>
    <x v="0"/>
  </r>
  <r>
    <n v="5"/>
    <x v="0"/>
    <s v="Tuesday"/>
    <d v="2025-01-28T00:00:00"/>
    <x v="8"/>
    <x v="281"/>
    <x v="0"/>
    <x v="1"/>
  </r>
  <r>
    <n v="5"/>
    <x v="0"/>
    <s v="Tuesday"/>
    <d v="2025-01-28T00:00:00"/>
    <x v="9"/>
    <x v="282"/>
    <x v="2"/>
    <x v="1"/>
  </r>
  <r>
    <n v="5"/>
    <x v="0"/>
    <s v="Tuesday"/>
    <d v="2025-01-28T00:00:00"/>
    <x v="10"/>
    <x v="283"/>
    <x v="1"/>
    <x v="0"/>
  </r>
  <r>
    <n v="5"/>
    <x v="0"/>
    <s v="Tuesday"/>
    <d v="2025-01-28T00:00:00"/>
    <x v="11"/>
    <x v="284"/>
    <x v="0"/>
    <x v="2"/>
  </r>
  <r>
    <n v="5"/>
    <x v="0"/>
    <s v="Tuesday"/>
    <d v="2025-01-28T00:00:00"/>
    <x v="12"/>
    <x v="285"/>
    <x v="2"/>
    <x v="2"/>
  </r>
  <r>
    <n v="5"/>
    <x v="0"/>
    <s v="Tuesday"/>
    <d v="2025-01-28T00:00:00"/>
    <x v="13"/>
    <x v="276"/>
    <x v="3"/>
    <x v="1"/>
  </r>
  <r>
    <n v="5"/>
    <x v="0"/>
    <s v="Tuesday"/>
    <d v="2025-01-28T00:00:00"/>
    <x v="14"/>
    <x v="286"/>
    <x v="3"/>
    <x v="1"/>
  </r>
  <r>
    <n v="5"/>
    <x v="0"/>
    <s v="Tuesday"/>
    <d v="2025-01-28T00:00:00"/>
    <x v="15"/>
    <x v="287"/>
    <x v="1"/>
    <x v="0"/>
  </r>
  <r>
    <n v="5"/>
    <x v="0"/>
    <s v="Tuesday"/>
    <d v="2025-01-28T00:00:00"/>
    <x v="16"/>
    <x v="288"/>
    <x v="2"/>
    <x v="1"/>
  </r>
  <r>
    <n v="5"/>
    <x v="0"/>
    <s v="Tuesday"/>
    <d v="2025-01-28T00:00:00"/>
    <x v="17"/>
    <x v="289"/>
    <x v="2"/>
    <x v="1"/>
  </r>
  <r>
    <n v="5"/>
    <x v="0"/>
    <s v="Wednesday"/>
    <d v="2025-01-29T00:00:00"/>
    <x v="0"/>
    <x v="290"/>
    <x v="2"/>
    <x v="0"/>
  </r>
  <r>
    <n v="5"/>
    <x v="0"/>
    <s v="Wednesday"/>
    <d v="2025-01-29T00:00:00"/>
    <x v="1"/>
    <x v="291"/>
    <x v="2"/>
    <x v="1"/>
  </r>
  <r>
    <n v="5"/>
    <x v="0"/>
    <s v="Wednesday"/>
    <d v="2025-01-29T00:00:00"/>
    <x v="2"/>
    <x v="292"/>
    <x v="1"/>
    <x v="2"/>
  </r>
  <r>
    <n v="5"/>
    <x v="0"/>
    <s v="Wednesday"/>
    <d v="2025-01-29T00:00:00"/>
    <x v="3"/>
    <x v="293"/>
    <x v="2"/>
    <x v="1"/>
  </r>
  <r>
    <n v="5"/>
    <x v="0"/>
    <s v="Wednesday"/>
    <d v="2025-01-29T00:00:00"/>
    <x v="4"/>
    <x v="294"/>
    <x v="2"/>
    <x v="0"/>
  </r>
  <r>
    <n v="5"/>
    <x v="0"/>
    <s v="Wednesday"/>
    <d v="2025-01-29T00:00:00"/>
    <x v="5"/>
    <x v="295"/>
    <x v="2"/>
    <x v="2"/>
  </r>
  <r>
    <n v="5"/>
    <x v="0"/>
    <s v="Wednesday"/>
    <d v="2025-01-29T00:00:00"/>
    <x v="6"/>
    <x v="296"/>
    <x v="3"/>
    <x v="1"/>
  </r>
  <r>
    <n v="5"/>
    <x v="0"/>
    <s v="Wednesday"/>
    <d v="2025-01-29T00:00:00"/>
    <x v="7"/>
    <x v="286"/>
    <x v="3"/>
    <x v="1"/>
  </r>
  <r>
    <n v="5"/>
    <x v="0"/>
    <s v="Wednesday"/>
    <d v="2025-01-29T00:00:00"/>
    <x v="8"/>
    <x v="297"/>
    <x v="0"/>
    <x v="0"/>
  </r>
  <r>
    <n v="5"/>
    <x v="0"/>
    <s v="Wednesday"/>
    <d v="2025-01-29T00:00:00"/>
    <x v="9"/>
    <x v="283"/>
    <x v="1"/>
    <x v="0"/>
  </r>
  <r>
    <n v="5"/>
    <x v="0"/>
    <s v="Wednesday"/>
    <d v="2025-01-29T00:00:00"/>
    <x v="10"/>
    <x v="298"/>
    <x v="2"/>
    <x v="2"/>
  </r>
  <r>
    <n v="5"/>
    <x v="0"/>
    <s v="Wednesday"/>
    <d v="2025-01-29T00:00:00"/>
    <x v="11"/>
    <x v="299"/>
    <x v="0"/>
    <x v="2"/>
  </r>
  <r>
    <n v="5"/>
    <x v="0"/>
    <s v="Wednesday"/>
    <d v="2025-01-29T00:00:00"/>
    <x v="12"/>
    <x v="300"/>
    <x v="3"/>
    <x v="2"/>
  </r>
  <r>
    <n v="5"/>
    <x v="0"/>
    <s v="Wednesday"/>
    <d v="2025-01-29T00:00:00"/>
    <x v="13"/>
    <x v="301"/>
    <x v="0"/>
    <x v="1"/>
  </r>
  <r>
    <n v="5"/>
    <x v="0"/>
    <s v="Wednesday"/>
    <d v="2025-01-29T00:00:00"/>
    <x v="14"/>
    <x v="302"/>
    <x v="1"/>
    <x v="0"/>
  </r>
  <r>
    <n v="5"/>
    <x v="0"/>
    <s v="Wednesday"/>
    <d v="2025-01-29T00:00:00"/>
    <x v="15"/>
    <x v="303"/>
    <x v="2"/>
    <x v="1"/>
  </r>
  <r>
    <n v="5"/>
    <x v="0"/>
    <s v="Wednesday"/>
    <d v="2025-01-29T00:00:00"/>
    <x v="16"/>
    <x v="304"/>
    <x v="0"/>
    <x v="0"/>
  </r>
  <r>
    <n v="5"/>
    <x v="0"/>
    <s v="Thursday"/>
    <d v="2025-01-30T00:00:00"/>
    <x v="0"/>
    <x v="305"/>
    <x v="3"/>
    <x v="2"/>
  </r>
  <r>
    <n v="5"/>
    <x v="0"/>
    <s v="Thursday"/>
    <d v="2025-01-30T00:00:00"/>
    <x v="1"/>
    <x v="306"/>
    <x v="2"/>
    <x v="2"/>
  </r>
  <r>
    <n v="5"/>
    <x v="0"/>
    <s v="Thursday"/>
    <d v="2025-01-30T00:00:00"/>
    <x v="2"/>
    <x v="307"/>
    <x v="2"/>
    <x v="2"/>
  </r>
  <r>
    <n v="5"/>
    <x v="0"/>
    <s v="Thursday"/>
    <d v="2025-01-30T00:00:00"/>
    <x v="3"/>
    <x v="308"/>
    <x v="2"/>
    <x v="1"/>
  </r>
  <r>
    <n v="5"/>
    <x v="0"/>
    <s v="Thursday"/>
    <d v="2025-01-30T00:00:00"/>
    <x v="4"/>
    <x v="309"/>
    <x v="3"/>
    <x v="1"/>
  </r>
  <r>
    <n v="5"/>
    <x v="0"/>
    <s v="Thursday"/>
    <d v="2025-01-30T00:00:00"/>
    <x v="5"/>
    <x v="310"/>
    <x v="0"/>
    <x v="2"/>
  </r>
  <r>
    <n v="5"/>
    <x v="0"/>
    <s v="Thursday"/>
    <d v="2025-01-30T00:00:00"/>
    <x v="6"/>
    <x v="311"/>
    <x v="1"/>
    <x v="1"/>
  </r>
  <r>
    <n v="5"/>
    <x v="0"/>
    <s v="Thursday"/>
    <d v="2025-01-30T00:00:00"/>
    <x v="7"/>
    <x v="312"/>
    <x v="1"/>
    <x v="0"/>
  </r>
  <r>
    <n v="5"/>
    <x v="0"/>
    <s v="Thursday"/>
    <d v="2025-01-30T00:00:00"/>
    <x v="8"/>
    <x v="313"/>
    <x v="2"/>
    <x v="2"/>
  </r>
  <r>
    <n v="5"/>
    <x v="0"/>
    <s v="Thursday"/>
    <d v="2025-01-30T00:00:00"/>
    <x v="9"/>
    <x v="314"/>
    <x v="3"/>
    <x v="1"/>
  </r>
  <r>
    <n v="5"/>
    <x v="0"/>
    <s v="Thursday"/>
    <d v="2025-01-30T00:00:00"/>
    <x v="10"/>
    <x v="315"/>
    <x v="2"/>
    <x v="0"/>
  </r>
  <r>
    <n v="5"/>
    <x v="0"/>
    <s v="Thursday"/>
    <d v="2025-01-30T00:00:00"/>
    <x v="11"/>
    <x v="314"/>
    <x v="2"/>
    <x v="1"/>
  </r>
  <r>
    <n v="5"/>
    <x v="0"/>
    <s v="Friday"/>
    <d v="2025-01-31T00:00:00"/>
    <x v="0"/>
    <x v="316"/>
    <x v="2"/>
    <x v="2"/>
  </r>
  <r>
    <n v="5"/>
    <x v="0"/>
    <s v="Friday"/>
    <d v="2025-01-31T00:00:00"/>
    <x v="1"/>
    <x v="317"/>
    <x v="2"/>
    <x v="1"/>
  </r>
  <r>
    <n v="5"/>
    <x v="0"/>
    <s v="Friday"/>
    <d v="2025-01-31T00:00:00"/>
    <x v="2"/>
    <x v="318"/>
    <x v="3"/>
    <x v="2"/>
  </r>
  <r>
    <n v="5"/>
    <x v="0"/>
    <s v="Friday"/>
    <d v="2025-01-31T00:00:00"/>
    <x v="3"/>
    <x v="319"/>
    <x v="0"/>
    <x v="2"/>
  </r>
  <r>
    <n v="5"/>
    <x v="0"/>
    <s v="Friday"/>
    <d v="2025-01-31T00:00:00"/>
    <x v="4"/>
    <x v="320"/>
    <x v="2"/>
    <x v="0"/>
  </r>
  <r>
    <n v="5"/>
    <x v="0"/>
    <s v="Friday"/>
    <d v="2025-01-31T00:00:00"/>
    <x v="5"/>
    <x v="321"/>
    <x v="2"/>
    <x v="2"/>
  </r>
  <r>
    <n v="5"/>
    <x v="0"/>
    <s v="Friday"/>
    <d v="2025-01-31T00:00:00"/>
    <x v="6"/>
    <x v="322"/>
    <x v="0"/>
    <x v="2"/>
  </r>
  <r>
    <n v="5"/>
    <x v="0"/>
    <s v="Friday"/>
    <d v="2025-01-31T00:00:00"/>
    <x v="7"/>
    <x v="323"/>
    <x v="0"/>
    <x v="2"/>
  </r>
  <r>
    <n v="5"/>
    <x v="0"/>
    <s v="Friday"/>
    <d v="2025-01-31T00:00:00"/>
    <x v="8"/>
    <x v="324"/>
    <x v="3"/>
    <x v="1"/>
  </r>
  <r>
    <n v="5"/>
    <x v="0"/>
    <s v="Friday"/>
    <d v="2025-01-31T00:00:00"/>
    <x v="9"/>
    <x v="325"/>
    <x v="2"/>
    <x v="1"/>
  </r>
  <r>
    <n v="5"/>
    <x v="0"/>
    <s v="Friday"/>
    <d v="2025-01-31T00:00:00"/>
    <x v="10"/>
    <x v="326"/>
    <x v="2"/>
    <x v="1"/>
  </r>
  <r>
    <n v="5"/>
    <x v="0"/>
    <s v="Friday"/>
    <d v="2025-01-31T00:00:00"/>
    <x v="11"/>
    <x v="327"/>
    <x v="0"/>
    <x v="1"/>
  </r>
  <r>
    <n v="5"/>
    <x v="0"/>
    <s v="Friday"/>
    <d v="2025-01-31T00:00:00"/>
    <x v="12"/>
    <x v="328"/>
    <x v="0"/>
    <x v="0"/>
  </r>
  <r>
    <n v="5"/>
    <x v="0"/>
    <s v="Friday"/>
    <d v="2025-01-31T00:00:00"/>
    <x v="13"/>
    <x v="329"/>
    <x v="0"/>
    <x v="2"/>
  </r>
  <r>
    <n v="5"/>
    <x v="0"/>
    <s v="Friday"/>
    <d v="2025-01-31T00:00:00"/>
    <x v="14"/>
    <x v="330"/>
    <x v="1"/>
    <x v="0"/>
  </r>
  <r>
    <n v="5"/>
    <x v="0"/>
    <s v="Friday"/>
    <d v="2025-01-31T00:00:00"/>
    <x v="15"/>
    <x v="331"/>
    <x v="2"/>
    <x v="1"/>
  </r>
  <r>
    <n v="5"/>
    <x v="0"/>
    <s v="Friday"/>
    <d v="2025-01-31T00:00:00"/>
    <x v="16"/>
    <x v="332"/>
    <x v="0"/>
    <x v="2"/>
  </r>
  <r>
    <n v="5"/>
    <x v="0"/>
    <s v="Friday"/>
    <d v="2025-01-31T00:00:00"/>
    <x v="17"/>
    <x v="333"/>
    <x v="2"/>
    <x v="2"/>
  </r>
  <r>
    <n v="5"/>
    <x v="0"/>
    <s v="Friday"/>
    <d v="2025-01-31T00:00:00"/>
    <x v="18"/>
    <x v="334"/>
    <x v="2"/>
    <x v="1"/>
  </r>
  <r>
    <n v="5"/>
    <x v="0"/>
    <s v="Friday"/>
    <d v="2025-01-31T00:00:00"/>
    <x v="19"/>
    <x v="335"/>
    <x v="0"/>
    <x v="2"/>
  </r>
  <r>
    <n v="5"/>
    <x v="0"/>
    <s v="Friday"/>
    <d v="2025-01-31T00:00:00"/>
    <x v="20"/>
    <x v="336"/>
    <x v="1"/>
    <x v="1"/>
  </r>
  <r>
    <n v="5"/>
    <x v="0"/>
    <s v="Friday"/>
    <d v="2025-01-31T00:00:00"/>
    <x v="21"/>
    <x v="337"/>
    <x v="0"/>
    <x v="1"/>
  </r>
  <r>
    <n v="5"/>
    <x v="0"/>
    <s v="Friday"/>
    <d v="2025-01-31T00:00:00"/>
    <x v="22"/>
    <x v="338"/>
    <x v="2"/>
    <x v="1"/>
  </r>
  <r>
    <n v="5"/>
    <x v="0"/>
    <s v="Friday"/>
    <d v="2025-01-31T00:00:00"/>
    <x v="23"/>
    <x v="339"/>
    <x v="2"/>
    <x v="1"/>
  </r>
  <r>
    <n v="5"/>
    <x v="1"/>
    <s v="Saturday"/>
    <d v="2025-02-01T00:00:00"/>
    <x v="0"/>
    <x v="340"/>
    <x v="3"/>
    <x v="1"/>
  </r>
  <r>
    <n v="1"/>
    <x v="0"/>
    <s v="Thursday"/>
    <d v="2025-01-02T00:00:00"/>
    <x v="1"/>
    <x v="341"/>
    <x v="2"/>
    <x v="0"/>
  </r>
  <r>
    <n v="1"/>
    <x v="0"/>
    <s v="Thursday"/>
    <d v="2025-01-02T00:00:00"/>
    <x v="2"/>
    <x v="342"/>
    <x v="1"/>
    <x v="0"/>
  </r>
  <r>
    <n v="1"/>
    <x v="0"/>
    <s v="Thursday"/>
    <d v="2025-01-02T00:00:00"/>
    <x v="3"/>
    <x v="343"/>
    <x v="2"/>
    <x v="1"/>
  </r>
  <r>
    <n v="1"/>
    <x v="0"/>
    <s v="Thursday"/>
    <d v="2025-01-02T00:00:00"/>
    <x v="4"/>
    <x v="344"/>
    <x v="3"/>
    <x v="1"/>
  </r>
  <r>
    <n v="1"/>
    <x v="0"/>
    <s v="Thursday"/>
    <d v="2025-01-02T00:00:00"/>
    <x v="5"/>
    <x v="345"/>
    <x v="1"/>
    <x v="0"/>
  </r>
  <r>
    <n v="1"/>
    <x v="0"/>
    <s v="Thursday"/>
    <d v="2025-01-02T00:00:00"/>
    <x v="6"/>
    <x v="346"/>
    <x v="3"/>
    <x v="0"/>
  </r>
  <r>
    <n v="1"/>
    <x v="0"/>
    <s v="Thursday"/>
    <d v="2025-01-02T00:00:00"/>
    <x v="7"/>
    <x v="347"/>
    <x v="2"/>
    <x v="1"/>
  </r>
  <r>
    <n v="1"/>
    <x v="0"/>
    <s v="Thursday"/>
    <d v="2025-01-02T00:00:00"/>
    <x v="8"/>
    <x v="348"/>
    <x v="1"/>
    <x v="1"/>
  </r>
  <r>
    <n v="1"/>
    <x v="0"/>
    <s v="Thursday"/>
    <d v="2025-01-02T00:00:00"/>
    <x v="9"/>
    <x v="349"/>
    <x v="0"/>
    <x v="2"/>
  </r>
  <r>
    <n v="1"/>
    <x v="0"/>
    <s v="Thursday"/>
    <d v="2025-01-02T00:00:00"/>
    <x v="10"/>
    <x v="350"/>
    <x v="2"/>
    <x v="1"/>
  </r>
  <r>
    <n v="1"/>
    <x v="0"/>
    <s v="Thursday"/>
    <d v="2025-01-02T00:00:00"/>
    <x v="11"/>
    <x v="351"/>
    <x v="4"/>
    <x v="1"/>
  </r>
  <r>
    <n v="1"/>
    <x v="0"/>
    <s v="Thursday"/>
    <d v="2025-01-02T00:00:00"/>
    <x v="12"/>
    <x v="352"/>
    <x v="0"/>
    <x v="2"/>
  </r>
  <r>
    <n v="1"/>
    <x v="0"/>
    <s v="Thursday"/>
    <d v="2025-01-02T00:00:00"/>
    <x v="13"/>
    <x v="353"/>
    <x v="2"/>
    <x v="2"/>
  </r>
  <r>
    <n v="1"/>
    <x v="0"/>
    <s v="Thursday"/>
    <d v="2025-01-02T00:00:00"/>
    <x v="14"/>
    <x v="354"/>
    <x v="3"/>
    <x v="2"/>
  </r>
  <r>
    <n v="1"/>
    <x v="0"/>
    <s v="Thursday"/>
    <d v="2025-01-02T00:00:00"/>
    <x v="15"/>
    <x v="355"/>
    <x v="3"/>
    <x v="0"/>
  </r>
  <r>
    <n v="1"/>
    <x v="0"/>
    <s v="Thursday"/>
    <d v="2025-01-02T00:00:00"/>
    <x v="16"/>
    <x v="356"/>
    <x v="2"/>
    <x v="2"/>
  </r>
  <r>
    <n v="1"/>
    <x v="0"/>
    <s v="Thursday"/>
    <d v="2025-01-02T00:00:00"/>
    <x v="17"/>
    <x v="357"/>
    <x v="0"/>
    <x v="2"/>
  </r>
  <r>
    <n v="1"/>
    <x v="0"/>
    <s v="Thursday"/>
    <d v="2025-01-02T00:00:00"/>
    <x v="18"/>
    <x v="358"/>
    <x v="3"/>
    <x v="1"/>
  </r>
  <r>
    <n v="1"/>
    <x v="0"/>
    <s v="Thursday"/>
    <d v="2025-01-02T00:00:00"/>
    <x v="19"/>
    <x v="359"/>
    <x v="0"/>
    <x v="2"/>
  </r>
  <r>
    <n v="1"/>
    <x v="0"/>
    <s v="Thursday"/>
    <d v="2025-01-02T00:00:00"/>
    <x v="20"/>
    <x v="360"/>
    <x v="1"/>
    <x v="2"/>
  </r>
  <r>
    <n v="1"/>
    <x v="0"/>
    <s v="Thursday"/>
    <d v="2025-01-02T00:00:00"/>
    <x v="21"/>
    <x v="361"/>
    <x v="3"/>
    <x v="1"/>
  </r>
  <r>
    <n v="1"/>
    <x v="0"/>
    <s v="Thursday"/>
    <d v="2025-01-02T00:00:00"/>
    <x v="22"/>
    <x v="362"/>
    <x v="3"/>
    <x v="0"/>
  </r>
  <r>
    <n v="1"/>
    <x v="0"/>
    <s v="Thursday"/>
    <d v="2025-01-02T00:00:00"/>
    <x v="23"/>
    <x v="363"/>
    <x v="2"/>
    <x v="0"/>
  </r>
  <r>
    <n v="1"/>
    <x v="0"/>
    <s v="Thursday"/>
    <d v="2025-01-02T00:00:00"/>
    <x v="24"/>
    <x v="361"/>
    <x v="2"/>
    <x v="1"/>
  </r>
  <r>
    <n v="6"/>
    <x v="1"/>
    <s v="Tuesday"/>
    <d v="2025-02-04T00:00:00"/>
    <x v="0"/>
    <x v="364"/>
    <x v="3"/>
    <x v="1"/>
  </r>
  <r>
    <n v="14"/>
    <x v="2"/>
    <s v="Wednesday"/>
    <d v="2025-04-02T00:00:00"/>
    <x v="1"/>
    <x v="365"/>
    <x v="0"/>
    <x v="0"/>
  </r>
  <r>
    <n v="14"/>
    <x v="2"/>
    <s v="Wednesday"/>
    <d v="2025-04-02T00:00:00"/>
    <x v="2"/>
    <x v="366"/>
    <x v="2"/>
    <x v="1"/>
  </r>
  <r>
    <n v="14"/>
    <x v="2"/>
    <s v="Wednesday"/>
    <d v="2025-04-02T00:00:00"/>
    <x v="3"/>
    <x v="367"/>
    <x v="3"/>
    <x v="1"/>
  </r>
  <r>
    <n v="14"/>
    <x v="2"/>
    <s v="Wednesday"/>
    <d v="2025-04-02T00:00:00"/>
    <x v="4"/>
    <x v="368"/>
    <x v="2"/>
    <x v="0"/>
  </r>
  <r>
    <n v="14"/>
    <x v="2"/>
    <s v="Wednesday"/>
    <d v="2025-04-02T00:00:00"/>
    <x v="5"/>
    <x v="369"/>
    <x v="2"/>
    <x v="2"/>
  </r>
  <r>
    <n v="14"/>
    <x v="2"/>
    <s v="Wednesday"/>
    <d v="2025-04-02T00:00:00"/>
    <x v="6"/>
    <x v="370"/>
    <x v="0"/>
    <x v="0"/>
  </r>
  <r>
    <n v="14"/>
    <x v="2"/>
    <s v="Wednesday"/>
    <d v="2025-04-02T00:00:00"/>
    <x v="7"/>
    <x v="371"/>
    <x v="2"/>
    <x v="1"/>
  </r>
  <r>
    <n v="14"/>
    <x v="2"/>
    <s v="Wednesday"/>
    <d v="2025-04-02T00:00:00"/>
    <x v="8"/>
    <x v="364"/>
    <x v="3"/>
    <x v="1"/>
  </r>
  <r>
    <n v="14"/>
    <x v="2"/>
    <s v="Wednesday"/>
    <d v="2025-04-02T00:00:00"/>
    <x v="9"/>
    <x v="252"/>
    <x v="3"/>
    <x v="1"/>
  </r>
  <r>
    <n v="14"/>
    <x v="2"/>
    <s v="Wednesday"/>
    <d v="2025-04-02T00:00:00"/>
    <x v="10"/>
    <x v="372"/>
    <x v="2"/>
    <x v="1"/>
  </r>
  <r>
    <n v="14"/>
    <x v="2"/>
    <s v="Wednesday"/>
    <d v="2025-04-02T00:00:00"/>
    <x v="11"/>
    <x v="373"/>
    <x v="0"/>
    <x v="2"/>
  </r>
  <r>
    <n v="14"/>
    <x v="2"/>
    <s v="Wednesday"/>
    <d v="2025-04-02T00:00:00"/>
    <x v="12"/>
    <x v="374"/>
    <x v="2"/>
    <x v="2"/>
  </r>
  <r>
    <n v="14"/>
    <x v="2"/>
    <s v="Wednesday"/>
    <d v="2025-04-02T00:00:00"/>
    <x v="13"/>
    <x v="375"/>
    <x v="2"/>
    <x v="0"/>
  </r>
  <r>
    <n v="14"/>
    <x v="2"/>
    <s v="Wednesday"/>
    <d v="2025-04-02T00:00:00"/>
    <x v="14"/>
    <x v="376"/>
    <x v="2"/>
    <x v="0"/>
  </r>
  <r>
    <n v="14"/>
    <x v="2"/>
    <s v="Wednesday"/>
    <d v="2025-04-02T00:00:00"/>
    <x v="15"/>
    <x v="377"/>
    <x v="0"/>
    <x v="0"/>
  </r>
  <r>
    <n v="14"/>
    <x v="2"/>
    <s v="Wednesday"/>
    <d v="2025-04-02T00:00:00"/>
    <x v="16"/>
    <x v="378"/>
    <x v="2"/>
    <x v="1"/>
  </r>
  <r>
    <n v="14"/>
    <x v="2"/>
    <s v="Wednesday"/>
    <d v="2025-04-02T00:00:00"/>
    <x v="17"/>
    <x v="379"/>
    <x v="1"/>
    <x v="0"/>
  </r>
  <r>
    <n v="14"/>
    <x v="2"/>
    <s v="Wednesday"/>
    <d v="2025-04-02T00:00:00"/>
    <x v="18"/>
    <x v="380"/>
    <x v="1"/>
    <x v="1"/>
  </r>
  <r>
    <n v="6"/>
    <x v="1"/>
    <s v="Wednesday"/>
    <d v="2025-02-05T00:00:00"/>
    <x v="0"/>
    <x v="381"/>
    <x v="2"/>
    <x v="1"/>
  </r>
  <r>
    <n v="18"/>
    <x v="3"/>
    <s v="Friday"/>
    <d v="2025-05-02T00:00:00"/>
    <x v="1"/>
    <x v="382"/>
    <x v="2"/>
    <x v="0"/>
  </r>
  <r>
    <n v="18"/>
    <x v="3"/>
    <s v="Friday"/>
    <d v="2025-05-02T00:00:00"/>
    <x v="2"/>
    <x v="383"/>
    <x v="3"/>
    <x v="1"/>
  </r>
  <r>
    <n v="18"/>
    <x v="3"/>
    <s v="Friday"/>
    <d v="2025-05-02T00:00:00"/>
    <x v="3"/>
    <x v="287"/>
    <x v="1"/>
    <x v="0"/>
  </r>
  <r>
    <n v="18"/>
    <x v="3"/>
    <s v="Friday"/>
    <d v="2025-05-02T00:00:00"/>
    <x v="4"/>
    <x v="384"/>
    <x v="1"/>
    <x v="0"/>
  </r>
  <r>
    <n v="18"/>
    <x v="3"/>
    <s v="Friday"/>
    <d v="2025-05-02T00:00:00"/>
    <x v="5"/>
    <x v="385"/>
    <x v="2"/>
    <x v="2"/>
  </r>
  <r>
    <n v="18"/>
    <x v="3"/>
    <s v="Friday"/>
    <d v="2025-05-02T00:00:00"/>
    <x v="6"/>
    <x v="386"/>
    <x v="2"/>
    <x v="1"/>
  </r>
  <r>
    <n v="18"/>
    <x v="3"/>
    <s v="Friday"/>
    <d v="2025-05-02T00:00:00"/>
    <x v="7"/>
    <x v="387"/>
    <x v="1"/>
    <x v="2"/>
  </r>
  <r>
    <n v="18"/>
    <x v="3"/>
    <s v="Friday"/>
    <d v="2025-05-02T00:00:00"/>
    <x v="8"/>
    <x v="388"/>
    <x v="2"/>
    <x v="1"/>
  </r>
  <r>
    <n v="18"/>
    <x v="3"/>
    <s v="Friday"/>
    <d v="2025-05-02T00:00:00"/>
    <x v="9"/>
    <x v="389"/>
    <x v="1"/>
    <x v="2"/>
  </r>
  <r>
    <n v="18"/>
    <x v="3"/>
    <s v="Friday"/>
    <d v="2025-05-02T00:00:00"/>
    <x v="10"/>
    <x v="390"/>
    <x v="0"/>
    <x v="0"/>
  </r>
  <r>
    <n v="18"/>
    <x v="3"/>
    <s v="Friday"/>
    <d v="2025-05-02T00:00:00"/>
    <x v="11"/>
    <x v="391"/>
    <x v="1"/>
    <x v="1"/>
  </r>
  <r>
    <n v="18"/>
    <x v="3"/>
    <s v="Friday"/>
    <d v="2025-05-02T00:00:00"/>
    <x v="12"/>
    <x v="392"/>
    <x v="2"/>
    <x v="0"/>
  </r>
  <r>
    <n v="18"/>
    <x v="3"/>
    <s v="Friday"/>
    <d v="2025-05-02T00:00:00"/>
    <x v="13"/>
    <x v="391"/>
    <x v="3"/>
    <x v="1"/>
  </r>
  <r>
    <n v="18"/>
    <x v="3"/>
    <s v="Friday"/>
    <d v="2025-05-02T00:00:00"/>
    <x v="14"/>
    <x v="393"/>
    <x v="2"/>
    <x v="0"/>
  </r>
  <r>
    <n v="18"/>
    <x v="3"/>
    <s v="Friday"/>
    <d v="2025-05-02T00:00:00"/>
    <x v="15"/>
    <x v="394"/>
    <x v="2"/>
    <x v="1"/>
  </r>
  <r>
    <n v="18"/>
    <x v="3"/>
    <s v="Friday"/>
    <d v="2025-05-02T00:00:00"/>
    <x v="16"/>
    <x v="395"/>
    <x v="2"/>
    <x v="1"/>
  </r>
  <r>
    <n v="18"/>
    <x v="3"/>
    <s v="Friday"/>
    <d v="2025-05-02T00:00:00"/>
    <x v="17"/>
    <x v="396"/>
    <x v="3"/>
    <x v="0"/>
  </r>
  <r>
    <n v="18"/>
    <x v="3"/>
    <s v="Friday"/>
    <d v="2025-05-02T00:00:00"/>
    <x v="18"/>
    <x v="397"/>
    <x v="2"/>
    <x v="0"/>
  </r>
  <r>
    <n v="18"/>
    <x v="3"/>
    <s v="Friday"/>
    <d v="2025-05-02T00:00:00"/>
    <x v="19"/>
    <x v="398"/>
    <x v="2"/>
    <x v="2"/>
  </r>
  <r>
    <n v="6"/>
    <x v="1"/>
    <s v="Thursday"/>
    <d v="2025-02-06T00:00:00"/>
    <x v="0"/>
    <x v="399"/>
    <x v="2"/>
    <x v="0"/>
  </r>
  <r>
    <n v="23"/>
    <x v="4"/>
    <s v="Monday"/>
    <d v="2025-06-02T00:00:00"/>
    <x v="1"/>
    <x v="400"/>
    <x v="0"/>
    <x v="2"/>
  </r>
  <r>
    <n v="23"/>
    <x v="4"/>
    <s v="Monday"/>
    <d v="2025-06-02T00:00:00"/>
    <x v="2"/>
    <x v="401"/>
    <x v="2"/>
    <x v="2"/>
  </r>
  <r>
    <n v="23"/>
    <x v="4"/>
    <s v="Monday"/>
    <d v="2025-06-02T00:00:00"/>
    <x v="3"/>
    <x v="402"/>
    <x v="2"/>
    <x v="1"/>
  </r>
  <r>
    <n v="23"/>
    <x v="4"/>
    <s v="Monday"/>
    <d v="2025-06-02T00:00:00"/>
    <x v="4"/>
    <x v="403"/>
    <x v="1"/>
    <x v="2"/>
  </r>
  <r>
    <n v="23"/>
    <x v="4"/>
    <s v="Monday"/>
    <d v="2025-06-02T00:00:00"/>
    <x v="5"/>
    <x v="404"/>
    <x v="3"/>
    <x v="0"/>
  </r>
  <r>
    <n v="23"/>
    <x v="4"/>
    <s v="Monday"/>
    <d v="2025-06-02T00:00:00"/>
    <x v="6"/>
    <x v="405"/>
    <x v="2"/>
    <x v="2"/>
  </r>
  <r>
    <n v="23"/>
    <x v="4"/>
    <s v="Monday"/>
    <d v="2025-06-02T00:00:00"/>
    <x v="7"/>
    <x v="406"/>
    <x v="2"/>
    <x v="0"/>
  </r>
  <r>
    <n v="23"/>
    <x v="4"/>
    <s v="Monday"/>
    <d v="2025-06-02T00:00:00"/>
    <x v="8"/>
    <x v="407"/>
    <x v="4"/>
    <x v="2"/>
  </r>
  <r>
    <n v="23"/>
    <x v="4"/>
    <s v="Monday"/>
    <d v="2025-06-02T00:00:00"/>
    <x v="9"/>
    <x v="408"/>
    <x v="1"/>
    <x v="0"/>
  </r>
  <r>
    <n v="23"/>
    <x v="4"/>
    <s v="Monday"/>
    <d v="2025-06-02T00:00:00"/>
    <x v="10"/>
    <x v="409"/>
    <x v="2"/>
    <x v="2"/>
  </r>
  <r>
    <n v="23"/>
    <x v="4"/>
    <s v="Monday"/>
    <d v="2025-06-02T00:00:00"/>
    <x v="11"/>
    <x v="410"/>
    <x v="2"/>
    <x v="0"/>
  </r>
  <r>
    <n v="23"/>
    <x v="4"/>
    <s v="Monday"/>
    <d v="2025-06-02T00:00:00"/>
    <x v="12"/>
    <x v="411"/>
    <x v="2"/>
    <x v="2"/>
  </r>
  <r>
    <n v="23"/>
    <x v="4"/>
    <s v="Monday"/>
    <d v="2025-06-02T00:00:00"/>
    <x v="13"/>
    <x v="403"/>
    <x v="2"/>
    <x v="2"/>
  </r>
  <r>
    <n v="23"/>
    <x v="4"/>
    <s v="Monday"/>
    <d v="2025-06-02T00:00:00"/>
    <x v="14"/>
    <x v="412"/>
    <x v="3"/>
    <x v="1"/>
  </r>
  <r>
    <n v="23"/>
    <x v="4"/>
    <s v="Monday"/>
    <d v="2025-06-02T00:00:00"/>
    <x v="15"/>
    <x v="413"/>
    <x v="3"/>
    <x v="1"/>
  </r>
  <r>
    <n v="23"/>
    <x v="4"/>
    <s v="Monday"/>
    <d v="2025-06-02T00:00:00"/>
    <x v="16"/>
    <x v="392"/>
    <x v="0"/>
    <x v="0"/>
  </r>
  <r>
    <n v="23"/>
    <x v="4"/>
    <s v="Monday"/>
    <d v="2025-06-02T00:00:00"/>
    <x v="17"/>
    <x v="414"/>
    <x v="2"/>
    <x v="2"/>
  </r>
  <r>
    <n v="23"/>
    <x v="4"/>
    <s v="Monday"/>
    <d v="2025-06-02T00:00:00"/>
    <x v="18"/>
    <x v="415"/>
    <x v="2"/>
    <x v="2"/>
  </r>
  <r>
    <n v="23"/>
    <x v="4"/>
    <s v="Monday"/>
    <d v="2025-06-02T00:00:00"/>
    <x v="19"/>
    <x v="416"/>
    <x v="0"/>
    <x v="1"/>
  </r>
  <r>
    <n v="23"/>
    <x v="4"/>
    <s v="Monday"/>
    <d v="2025-06-02T00:00:00"/>
    <x v="20"/>
    <x v="417"/>
    <x v="1"/>
    <x v="1"/>
  </r>
  <r>
    <n v="23"/>
    <x v="4"/>
    <s v="Monday"/>
    <d v="2025-06-02T00:00:00"/>
    <x v="21"/>
    <x v="418"/>
    <x v="2"/>
    <x v="1"/>
  </r>
  <r>
    <n v="23"/>
    <x v="4"/>
    <s v="Monday"/>
    <d v="2025-06-02T00:00:00"/>
    <x v="22"/>
    <x v="419"/>
    <x v="1"/>
    <x v="0"/>
  </r>
  <r>
    <n v="23"/>
    <x v="4"/>
    <s v="Monday"/>
    <d v="2025-06-02T00:00:00"/>
    <x v="23"/>
    <x v="420"/>
    <x v="2"/>
    <x v="2"/>
  </r>
  <r>
    <n v="6"/>
    <x v="1"/>
    <s v="Friday"/>
    <d v="2025-02-07T00:00:00"/>
    <x v="0"/>
    <x v="421"/>
    <x v="0"/>
    <x v="0"/>
  </r>
  <r>
    <n v="27"/>
    <x v="5"/>
    <s v="Wednesday"/>
    <d v="2025-07-02T00:00:00"/>
    <x v="1"/>
    <x v="422"/>
    <x v="1"/>
    <x v="0"/>
  </r>
  <r>
    <n v="27"/>
    <x v="5"/>
    <s v="Wednesday"/>
    <d v="2025-07-02T00:00:00"/>
    <x v="2"/>
    <x v="423"/>
    <x v="2"/>
    <x v="1"/>
  </r>
  <r>
    <n v="27"/>
    <x v="5"/>
    <s v="Wednesday"/>
    <d v="2025-07-02T00:00:00"/>
    <x v="3"/>
    <x v="424"/>
    <x v="2"/>
    <x v="1"/>
  </r>
  <r>
    <n v="27"/>
    <x v="5"/>
    <s v="Wednesday"/>
    <d v="2025-07-02T00:00:00"/>
    <x v="4"/>
    <x v="425"/>
    <x v="0"/>
    <x v="1"/>
  </r>
  <r>
    <n v="27"/>
    <x v="5"/>
    <s v="Wednesday"/>
    <d v="2025-07-02T00:00:00"/>
    <x v="5"/>
    <x v="426"/>
    <x v="2"/>
    <x v="1"/>
  </r>
  <r>
    <n v="27"/>
    <x v="5"/>
    <s v="Wednesday"/>
    <d v="2025-07-02T00:00:00"/>
    <x v="6"/>
    <x v="427"/>
    <x v="2"/>
    <x v="2"/>
  </r>
  <r>
    <n v="27"/>
    <x v="5"/>
    <s v="Wednesday"/>
    <d v="2025-07-02T00:00:00"/>
    <x v="7"/>
    <x v="428"/>
    <x v="1"/>
    <x v="1"/>
  </r>
  <r>
    <n v="27"/>
    <x v="5"/>
    <s v="Wednesday"/>
    <d v="2025-07-02T00:00:00"/>
    <x v="8"/>
    <x v="429"/>
    <x v="2"/>
    <x v="1"/>
  </r>
  <r>
    <n v="27"/>
    <x v="5"/>
    <s v="Wednesday"/>
    <d v="2025-07-02T00:00:00"/>
    <x v="9"/>
    <x v="236"/>
    <x v="3"/>
    <x v="1"/>
  </r>
  <r>
    <n v="27"/>
    <x v="5"/>
    <s v="Wednesday"/>
    <d v="2025-07-02T00:00:00"/>
    <x v="10"/>
    <x v="430"/>
    <x v="2"/>
    <x v="0"/>
  </r>
  <r>
    <n v="27"/>
    <x v="5"/>
    <s v="Wednesday"/>
    <d v="2025-07-02T00:00:00"/>
    <x v="11"/>
    <x v="431"/>
    <x v="2"/>
    <x v="1"/>
  </r>
  <r>
    <n v="27"/>
    <x v="5"/>
    <s v="Wednesday"/>
    <d v="2025-07-02T00:00:00"/>
    <x v="12"/>
    <x v="432"/>
    <x v="1"/>
    <x v="1"/>
  </r>
  <r>
    <n v="27"/>
    <x v="5"/>
    <s v="Wednesday"/>
    <d v="2025-07-02T00:00:00"/>
    <x v="13"/>
    <x v="433"/>
    <x v="2"/>
    <x v="1"/>
  </r>
  <r>
    <n v="27"/>
    <x v="5"/>
    <s v="Wednesday"/>
    <d v="2025-07-02T00:00:00"/>
    <x v="14"/>
    <x v="434"/>
    <x v="0"/>
    <x v="1"/>
  </r>
  <r>
    <n v="27"/>
    <x v="5"/>
    <s v="Wednesday"/>
    <d v="2025-07-02T00:00:00"/>
    <x v="15"/>
    <x v="435"/>
    <x v="4"/>
    <x v="2"/>
  </r>
  <r>
    <n v="27"/>
    <x v="5"/>
    <s v="Wednesday"/>
    <d v="2025-07-02T00:00:00"/>
    <x v="16"/>
    <x v="436"/>
    <x v="2"/>
    <x v="1"/>
  </r>
  <r>
    <n v="27"/>
    <x v="5"/>
    <s v="Wednesday"/>
    <d v="2025-07-02T00:00:00"/>
    <x v="17"/>
    <x v="437"/>
    <x v="0"/>
    <x v="1"/>
  </r>
  <r>
    <n v="27"/>
    <x v="5"/>
    <s v="Wednesday"/>
    <d v="2025-07-02T00:00:00"/>
    <x v="18"/>
    <x v="438"/>
    <x v="2"/>
    <x v="1"/>
  </r>
  <r>
    <n v="27"/>
    <x v="5"/>
    <s v="Wednesday"/>
    <d v="2025-07-02T00:00:00"/>
    <x v="19"/>
    <x v="439"/>
    <x v="0"/>
    <x v="1"/>
  </r>
  <r>
    <n v="27"/>
    <x v="5"/>
    <s v="Wednesday"/>
    <d v="2025-07-02T00:00:00"/>
    <x v="20"/>
    <x v="440"/>
    <x v="0"/>
    <x v="1"/>
  </r>
  <r>
    <n v="27"/>
    <x v="5"/>
    <s v="Wednesday"/>
    <d v="2025-07-02T00:00:00"/>
    <x v="21"/>
    <x v="441"/>
    <x v="1"/>
    <x v="0"/>
  </r>
  <r>
    <n v="27"/>
    <x v="5"/>
    <s v="Wednesday"/>
    <d v="2025-07-02T00:00:00"/>
    <x v="22"/>
    <x v="442"/>
    <x v="2"/>
    <x v="1"/>
  </r>
  <r>
    <n v="27"/>
    <x v="5"/>
    <s v="Wednesday"/>
    <d v="2025-07-02T00:00:00"/>
    <x v="23"/>
    <x v="443"/>
    <x v="3"/>
    <x v="1"/>
  </r>
  <r>
    <n v="27"/>
    <x v="5"/>
    <s v="Wednesday"/>
    <d v="2025-07-02T00:00:00"/>
    <x v="24"/>
    <x v="444"/>
    <x v="2"/>
    <x v="1"/>
  </r>
  <r>
    <n v="27"/>
    <x v="5"/>
    <s v="Wednesday"/>
    <d v="2025-07-02T00:00:00"/>
    <x v="25"/>
    <x v="445"/>
    <x v="2"/>
    <x v="1"/>
  </r>
  <r>
    <n v="7"/>
    <x v="1"/>
    <s v="Tuesday"/>
    <d v="2025-02-11T00:00:00"/>
    <x v="0"/>
    <x v="446"/>
    <x v="0"/>
    <x v="2"/>
  </r>
  <r>
    <n v="45"/>
    <x v="6"/>
    <s v="Sunday"/>
    <d v="2025-11-02T00:00:00"/>
    <x v="1"/>
    <x v="447"/>
    <x v="1"/>
    <x v="2"/>
  </r>
  <r>
    <n v="45"/>
    <x v="6"/>
    <s v="Sunday"/>
    <d v="2025-11-02T00:00:00"/>
    <x v="2"/>
    <x v="448"/>
    <x v="2"/>
    <x v="1"/>
  </r>
  <r>
    <n v="45"/>
    <x v="6"/>
    <s v="Sunday"/>
    <d v="2025-11-02T00:00:00"/>
    <x v="3"/>
    <x v="449"/>
    <x v="2"/>
    <x v="1"/>
  </r>
  <r>
    <n v="45"/>
    <x v="6"/>
    <s v="Sunday"/>
    <d v="2025-11-02T00:00:00"/>
    <x v="4"/>
    <x v="450"/>
    <x v="3"/>
    <x v="0"/>
  </r>
  <r>
    <n v="45"/>
    <x v="6"/>
    <s v="Sunday"/>
    <d v="2025-11-02T00:00:00"/>
    <x v="5"/>
    <x v="451"/>
    <x v="2"/>
    <x v="2"/>
  </r>
  <r>
    <n v="45"/>
    <x v="6"/>
    <s v="Sunday"/>
    <d v="2025-11-02T00:00:00"/>
    <x v="6"/>
    <x v="452"/>
    <x v="3"/>
    <x v="1"/>
  </r>
  <r>
    <n v="45"/>
    <x v="6"/>
    <s v="Sunday"/>
    <d v="2025-11-02T00:00:00"/>
    <x v="7"/>
    <x v="453"/>
    <x v="0"/>
    <x v="1"/>
  </r>
  <r>
    <n v="45"/>
    <x v="6"/>
    <s v="Sunday"/>
    <d v="2025-11-02T00:00:00"/>
    <x v="8"/>
    <x v="454"/>
    <x v="2"/>
    <x v="0"/>
  </r>
  <r>
    <n v="45"/>
    <x v="6"/>
    <s v="Sunday"/>
    <d v="2025-11-02T00:00:00"/>
    <x v="9"/>
    <x v="455"/>
    <x v="3"/>
    <x v="1"/>
  </r>
  <r>
    <n v="45"/>
    <x v="6"/>
    <s v="Sunday"/>
    <d v="2025-11-02T00:00:00"/>
    <x v="10"/>
    <x v="456"/>
    <x v="2"/>
    <x v="1"/>
  </r>
  <r>
    <n v="45"/>
    <x v="6"/>
    <s v="Sunday"/>
    <d v="2025-11-02T00:00:00"/>
    <x v="11"/>
    <x v="457"/>
    <x v="0"/>
    <x v="0"/>
  </r>
  <r>
    <n v="45"/>
    <x v="6"/>
    <s v="Sunday"/>
    <d v="2025-11-02T00:00:00"/>
    <x v="12"/>
    <x v="458"/>
    <x v="2"/>
    <x v="1"/>
  </r>
  <r>
    <n v="45"/>
    <x v="6"/>
    <s v="Sunday"/>
    <d v="2025-11-02T00:00:00"/>
    <x v="13"/>
    <x v="459"/>
    <x v="3"/>
    <x v="1"/>
  </r>
  <r>
    <n v="45"/>
    <x v="6"/>
    <s v="Sunday"/>
    <d v="2025-11-02T00:00:00"/>
    <x v="14"/>
    <x v="460"/>
    <x v="0"/>
    <x v="2"/>
  </r>
  <r>
    <n v="45"/>
    <x v="6"/>
    <s v="Sunday"/>
    <d v="2025-11-02T00:00:00"/>
    <x v="15"/>
    <x v="461"/>
    <x v="2"/>
    <x v="1"/>
  </r>
  <r>
    <n v="45"/>
    <x v="6"/>
    <s v="Sunday"/>
    <d v="2025-11-02T00:00:00"/>
    <x v="16"/>
    <x v="462"/>
    <x v="2"/>
    <x v="1"/>
  </r>
  <r>
    <n v="45"/>
    <x v="6"/>
    <s v="Sunday"/>
    <d v="2025-11-02T00:00:00"/>
    <x v="17"/>
    <x v="463"/>
    <x v="2"/>
    <x v="2"/>
  </r>
  <r>
    <n v="45"/>
    <x v="6"/>
    <s v="Sunday"/>
    <d v="2025-11-02T00:00:00"/>
    <x v="18"/>
    <x v="464"/>
    <x v="4"/>
    <x v="2"/>
  </r>
  <r>
    <n v="45"/>
    <x v="6"/>
    <s v="Sunday"/>
    <d v="2025-11-02T00:00:00"/>
    <x v="19"/>
    <x v="465"/>
    <x v="2"/>
    <x v="0"/>
  </r>
  <r>
    <n v="45"/>
    <x v="6"/>
    <s v="Sunday"/>
    <d v="2025-11-02T00:00:00"/>
    <x v="20"/>
    <x v="466"/>
    <x v="2"/>
    <x v="1"/>
  </r>
  <r>
    <n v="45"/>
    <x v="6"/>
    <s v="Sunday"/>
    <d v="2025-11-02T00:00:00"/>
    <x v="21"/>
    <x v="358"/>
    <x v="3"/>
    <x v="1"/>
  </r>
  <r>
    <n v="45"/>
    <x v="6"/>
    <s v="Sunday"/>
    <d v="2025-11-02T00:00:00"/>
    <x v="22"/>
    <x v="467"/>
    <x v="3"/>
    <x v="2"/>
  </r>
  <r>
    <n v="45"/>
    <x v="6"/>
    <s v="Sunday"/>
    <d v="2025-11-02T00:00:00"/>
    <x v="23"/>
    <x v="468"/>
    <x v="2"/>
    <x v="2"/>
  </r>
  <r>
    <n v="45"/>
    <x v="6"/>
    <s v="Sunday"/>
    <d v="2025-11-02T00:00:00"/>
    <x v="24"/>
    <x v="469"/>
    <x v="1"/>
    <x v="2"/>
  </r>
  <r>
    <n v="45"/>
    <x v="6"/>
    <s v="Sunday"/>
    <d v="2025-11-02T00:00:00"/>
    <x v="25"/>
    <x v="470"/>
    <x v="1"/>
    <x v="0"/>
  </r>
  <r>
    <n v="45"/>
    <x v="6"/>
    <s v="Sunday"/>
    <d v="2025-11-02T00:00:00"/>
    <x v="26"/>
    <x v="471"/>
    <x v="3"/>
    <x v="2"/>
  </r>
  <r>
    <n v="45"/>
    <x v="6"/>
    <s v="Sunday"/>
    <d v="2025-11-02T00:00:00"/>
    <x v="27"/>
    <x v="472"/>
    <x v="2"/>
    <x v="1"/>
  </r>
  <r>
    <n v="7"/>
    <x v="1"/>
    <s v="Wednesday"/>
    <d v="2025-02-12T00:00:00"/>
    <x v="0"/>
    <x v="473"/>
    <x v="2"/>
    <x v="1"/>
  </r>
  <r>
    <n v="49"/>
    <x v="7"/>
    <s v="Tuesday"/>
    <d v="2025-12-02T00:00:00"/>
    <x v="1"/>
    <x v="474"/>
    <x v="3"/>
    <x v="2"/>
  </r>
  <r>
    <n v="49"/>
    <x v="7"/>
    <s v="Tuesday"/>
    <d v="2025-12-02T00:00:00"/>
    <x v="2"/>
    <x v="475"/>
    <x v="2"/>
    <x v="1"/>
  </r>
  <r>
    <n v="49"/>
    <x v="7"/>
    <s v="Tuesday"/>
    <d v="2025-12-02T00:00:00"/>
    <x v="3"/>
    <x v="476"/>
    <x v="0"/>
    <x v="2"/>
  </r>
  <r>
    <n v="49"/>
    <x v="7"/>
    <s v="Tuesday"/>
    <d v="2025-12-02T00:00:00"/>
    <x v="4"/>
    <x v="477"/>
    <x v="2"/>
    <x v="1"/>
  </r>
  <r>
    <n v="49"/>
    <x v="7"/>
    <s v="Tuesday"/>
    <d v="2025-12-02T00:00:00"/>
    <x v="5"/>
    <x v="478"/>
    <x v="0"/>
    <x v="2"/>
  </r>
  <r>
    <n v="49"/>
    <x v="7"/>
    <s v="Tuesday"/>
    <d v="2025-12-02T00:00:00"/>
    <x v="6"/>
    <x v="479"/>
    <x v="2"/>
    <x v="1"/>
  </r>
  <r>
    <n v="49"/>
    <x v="7"/>
    <s v="Tuesday"/>
    <d v="2025-12-02T00:00:00"/>
    <x v="7"/>
    <x v="480"/>
    <x v="0"/>
    <x v="0"/>
  </r>
  <r>
    <n v="49"/>
    <x v="7"/>
    <s v="Tuesday"/>
    <d v="2025-12-02T00:00:00"/>
    <x v="8"/>
    <x v="481"/>
    <x v="2"/>
    <x v="0"/>
  </r>
  <r>
    <n v="49"/>
    <x v="7"/>
    <s v="Tuesday"/>
    <d v="2025-12-02T00:00:00"/>
    <x v="9"/>
    <x v="482"/>
    <x v="1"/>
    <x v="2"/>
  </r>
  <r>
    <n v="49"/>
    <x v="7"/>
    <s v="Tuesday"/>
    <d v="2025-12-02T00:00:00"/>
    <x v="10"/>
    <x v="483"/>
    <x v="0"/>
    <x v="0"/>
  </r>
  <r>
    <n v="49"/>
    <x v="7"/>
    <s v="Tuesday"/>
    <d v="2025-12-02T00:00:00"/>
    <x v="11"/>
    <x v="484"/>
    <x v="2"/>
    <x v="1"/>
  </r>
  <r>
    <n v="49"/>
    <x v="7"/>
    <s v="Tuesday"/>
    <d v="2025-12-02T00:00:00"/>
    <x v="12"/>
    <x v="485"/>
    <x v="3"/>
    <x v="1"/>
  </r>
  <r>
    <n v="49"/>
    <x v="7"/>
    <s v="Tuesday"/>
    <d v="2025-12-02T00:00:00"/>
    <x v="13"/>
    <x v="486"/>
    <x v="2"/>
    <x v="1"/>
  </r>
  <r>
    <n v="49"/>
    <x v="7"/>
    <s v="Tuesday"/>
    <d v="2025-12-02T00:00:00"/>
    <x v="14"/>
    <x v="487"/>
    <x v="2"/>
    <x v="2"/>
  </r>
  <r>
    <n v="49"/>
    <x v="7"/>
    <s v="Tuesday"/>
    <d v="2025-12-02T00:00:00"/>
    <x v="15"/>
    <x v="488"/>
    <x v="1"/>
    <x v="2"/>
  </r>
  <r>
    <n v="49"/>
    <x v="7"/>
    <s v="Tuesday"/>
    <d v="2025-12-02T00:00:00"/>
    <x v="16"/>
    <x v="489"/>
    <x v="3"/>
    <x v="1"/>
  </r>
  <r>
    <n v="49"/>
    <x v="7"/>
    <s v="Tuesday"/>
    <d v="2025-12-02T00:00:00"/>
    <x v="17"/>
    <x v="490"/>
    <x v="2"/>
    <x v="1"/>
  </r>
  <r>
    <n v="49"/>
    <x v="7"/>
    <s v="Tuesday"/>
    <d v="2025-12-02T00:00:00"/>
    <x v="18"/>
    <x v="491"/>
    <x v="2"/>
    <x v="1"/>
  </r>
  <r>
    <n v="49"/>
    <x v="7"/>
    <s v="Tuesday"/>
    <d v="2025-12-02T00:00:00"/>
    <x v="19"/>
    <x v="492"/>
    <x v="2"/>
    <x v="0"/>
  </r>
  <r>
    <n v="49"/>
    <x v="7"/>
    <s v="Tuesday"/>
    <d v="2025-12-02T00:00:00"/>
    <x v="20"/>
    <x v="493"/>
    <x v="1"/>
    <x v="0"/>
  </r>
  <r>
    <n v="49"/>
    <x v="7"/>
    <s v="Tuesday"/>
    <d v="2025-12-02T00:00:00"/>
    <x v="21"/>
    <x v="494"/>
    <x v="2"/>
    <x v="1"/>
  </r>
  <r>
    <n v="49"/>
    <x v="7"/>
    <s v="Tuesday"/>
    <d v="2025-12-02T00:00:00"/>
    <x v="22"/>
    <x v="495"/>
    <x v="3"/>
    <x v="1"/>
  </r>
  <r>
    <n v="49"/>
    <x v="7"/>
    <s v="Tuesday"/>
    <d v="2025-12-02T00:00:00"/>
    <x v="23"/>
    <x v="496"/>
    <x v="0"/>
    <x v="0"/>
  </r>
  <r>
    <n v="49"/>
    <x v="7"/>
    <s v="Tuesday"/>
    <d v="2025-12-02T00:00:00"/>
    <x v="24"/>
    <x v="459"/>
    <x v="2"/>
    <x v="1"/>
  </r>
  <r>
    <n v="49"/>
    <x v="7"/>
    <s v="Tuesday"/>
    <d v="2025-12-02T00:00:00"/>
    <x v="25"/>
    <x v="497"/>
    <x v="0"/>
    <x v="0"/>
  </r>
  <r>
    <n v="49"/>
    <x v="7"/>
    <s v="Tuesday"/>
    <d v="2025-12-02T00:00:00"/>
    <x v="26"/>
    <x v="498"/>
    <x v="2"/>
    <x v="1"/>
  </r>
  <r>
    <n v="49"/>
    <x v="7"/>
    <s v="Tuesday"/>
    <d v="2025-12-02T00:00:00"/>
    <x v="27"/>
    <x v="499"/>
    <x v="2"/>
    <x v="1"/>
  </r>
  <r>
    <n v="49"/>
    <x v="7"/>
    <s v="Tuesday"/>
    <d v="2025-12-02T00:00:00"/>
    <x v="28"/>
    <x v="500"/>
    <x v="2"/>
    <x v="1"/>
  </r>
  <r>
    <n v="7"/>
    <x v="1"/>
    <s v="Thursday"/>
    <d v="2025-02-13T00:00:00"/>
    <x v="0"/>
    <x v="501"/>
    <x v="2"/>
    <x v="2"/>
  </r>
  <r>
    <n v="7"/>
    <x v="1"/>
    <s v="Thursday"/>
    <d v="2025-02-13T00:00:00"/>
    <x v="1"/>
    <x v="501"/>
    <x v="2"/>
    <x v="2"/>
  </r>
  <r>
    <n v="7"/>
    <x v="1"/>
    <s v="Thursday"/>
    <d v="2025-02-13T00:00:00"/>
    <x v="2"/>
    <x v="479"/>
    <x v="0"/>
    <x v="1"/>
  </r>
  <r>
    <n v="7"/>
    <x v="1"/>
    <s v="Thursday"/>
    <d v="2025-02-13T00:00:00"/>
    <x v="3"/>
    <x v="502"/>
    <x v="1"/>
    <x v="2"/>
  </r>
  <r>
    <n v="7"/>
    <x v="1"/>
    <s v="Thursday"/>
    <d v="2025-02-13T00:00:00"/>
    <x v="4"/>
    <x v="503"/>
    <x v="2"/>
    <x v="2"/>
  </r>
  <r>
    <n v="7"/>
    <x v="1"/>
    <s v="Thursday"/>
    <d v="2025-02-13T00:00:00"/>
    <x v="5"/>
    <x v="504"/>
    <x v="2"/>
    <x v="1"/>
  </r>
  <r>
    <n v="7"/>
    <x v="1"/>
    <s v="Thursday"/>
    <d v="2025-02-13T00:00:00"/>
    <x v="6"/>
    <x v="505"/>
    <x v="0"/>
    <x v="0"/>
  </r>
  <r>
    <n v="7"/>
    <x v="1"/>
    <s v="Thursday"/>
    <d v="2025-02-13T00:00:00"/>
    <x v="7"/>
    <x v="506"/>
    <x v="0"/>
    <x v="0"/>
  </r>
  <r>
    <n v="7"/>
    <x v="1"/>
    <s v="Thursday"/>
    <d v="2025-02-13T00:00:00"/>
    <x v="8"/>
    <x v="507"/>
    <x v="1"/>
    <x v="2"/>
  </r>
  <r>
    <n v="7"/>
    <x v="1"/>
    <s v="Thursday"/>
    <d v="2025-02-13T00:00:00"/>
    <x v="9"/>
    <x v="508"/>
    <x v="2"/>
    <x v="1"/>
  </r>
  <r>
    <n v="7"/>
    <x v="1"/>
    <s v="Thursday"/>
    <d v="2025-02-13T00:00:00"/>
    <x v="10"/>
    <x v="509"/>
    <x v="0"/>
    <x v="2"/>
  </r>
  <r>
    <n v="7"/>
    <x v="1"/>
    <s v="Thursday"/>
    <d v="2025-02-13T00:00:00"/>
    <x v="11"/>
    <x v="510"/>
    <x v="1"/>
    <x v="0"/>
  </r>
  <r>
    <n v="7"/>
    <x v="1"/>
    <s v="Thursday"/>
    <d v="2025-02-13T00:00:00"/>
    <x v="12"/>
    <x v="511"/>
    <x v="2"/>
    <x v="2"/>
  </r>
  <r>
    <n v="7"/>
    <x v="1"/>
    <s v="Thursday"/>
    <d v="2025-02-13T00:00:00"/>
    <x v="13"/>
    <x v="512"/>
    <x v="2"/>
    <x v="2"/>
  </r>
  <r>
    <n v="7"/>
    <x v="1"/>
    <s v="Friday"/>
    <d v="2025-02-14T00:00:00"/>
    <x v="0"/>
    <x v="513"/>
    <x v="2"/>
    <x v="1"/>
  </r>
  <r>
    <n v="7"/>
    <x v="1"/>
    <s v="Friday"/>
    <d v="2025-02-14T00:00:00"/>
    <x v="1"/>
    <x v="514"/>
    <x v="3"/>
    <x v="1"/>
  </r>
  <r>
    <n v="7"/>
    <x v="1"/>
    <s v="Friday"/>
    <d v="2025-02-14T00:00:00"/>
    <x v="2"/>
    <x v="515"/>
    <x v="3"/>
    <x v="1"/>
  </r>
  <r>
    <n v="7"/>
    <x v="1"/>
    <s v="Friday"/>
    <d v="2025-02-14T00:00:00"/>
    <x v="3"/>
    <x v="516"/>
    <x v="2"/>
    <x v="1"/>
  </r>
  <r>
    <n v="7"/>
    <x v="1"/>
    <s v="Friday"/>
    <d v="2025-02-14T00:00:00"/>
    <x v="4"/>
    <x v="517"/>
    <x v="2"/>
    <x v="1"/>
  </r>
  <r>
    <n v="7"/>
    <x v="1"/>
    <s v="Friday"/>
    <d v="2025-02-14T00:00:00"/>
    <x v="5"/>
    <x v="518"/>
    <x v="2"/>
    <x v="1"/>
  </r>
  <r>
    <n v="7"/>
    <x v="1"/>
    <s v="Friday"/>
    <d v="2025-02-14T00:00:00"/>
    <x v="6"/>
    <x v="519"/>
    <x v="0"/>
    <x v="2"/>
  </r>
  <r>
    <n v="7"/>
    <x v="1"/>
    <s v="Friday"/>
    <d v="2025-02-14T00:00:00"/>
    <x v="7"/>
    <x v="520"/>
    <x v="0"/>
    <x v="0"/>
  </r>
  <r>
    <n v="7"/>
    <x v="1"/>
    <s v="Friday"/>
    <d v="2025-02-14T00:00:00"/>
    <x v="8"/>
    <x v="252"/>
    <x v="3"/>
    <x v="1"/>
  </r>
  <r>
    <n v="7"/>
    <x v="1"/>
    <s v="Friday"/>
    <d v="2025-02-14T00:00:00"/>
    <x v="9"/>
    <x v="521"/>
    <x v="2"/>
    <x v="1"/>
  </r>
  <r>
    <n v="7"/>
    <x v="1"/>
    <s v="Friday"/>
    <d v="2025-02-14T00:00:00"/>
    <x v="10"/>
    <x v="522"/>
    <x v="2"/>
    <x v="1"/>
  </r>
  <r>
    <n v="7"/>
    <x v="1"/>
    <s v="Friday"/>
    <d v="2025-02-14T00:00:00"/>
    <x v="11"/>
    <x v="287"/>
    <x v="1"/>
    <x v="0"/>
  </r>
  <r>
    <n v="7"/>
    <x v="1"/>
    <s v="Friday"/>
    <d v="2025-02-14T00:00:00"/>
    <x v="12"/>
    <x v="523"/>
    <x v="1"/>
    <x v="0"/>
  </r>
  <r>
    <n v="7"/>
    <x v="1"/>
    <s v="Friday"/>
    <d v="2025-02-14T00:00:00"/>
    <x v="13"/>
    <x v="524"/>
    <x v="2"/>
    <x v="2"/>
  </r>
  <r>
    <n v="7"/>
    <x v="1"/>
    <s v="Friday"/>
    <d v="2025-02-14T00:00:00"/>
    <x v="14"/>
    <x v="525"/>
    <x v="0"/>
    <x v="0"/>
  </r>
  <r>
    <n v="7"/>
    <x v="1"/>
    <s v="Friday"/>
    <d v="2025-02-14T00:00:00"/>
    <x v="15"/>
    <x v="526"/>
    <x v="4"/>
    <x v="0"/>
  </r>
  <r>
    <n v="7"/>
    <x v="1"/>
    <s v="Friday"/>
    <d v="2025-02-14T00:00:00"/>
    <x v="16"/>
    <x v="527"/>
    <x v="3"/>
    <x v="1"/>
  </r>
  <r>
    <n v="7"/>
    <x v="1"/>
    <s v="Friday"/>
    <d v="2025-02-14T00:00:00"/>
    <x v="17"/>
    <x v="528"/>
    <x v="2"/>
    <x v="0"/>
  </r>
  <r>
    <n v="7"/>
    <x v="1"/>
    <s v="Friday"/>
    <d v="2025-02-14T00:00:00"/>
    <x v="18"/>
    <x v="529"/>
    <x v="3"/>
    <x v="1"/>
  </r>
  <r>
    <n v="7"/>
    <x v="1"/>
    <s v="Friday"/>
    <d v="2025-02-14T00:00:00"/>
    <x v="19"/>
    <x v="530"/>
    <x v="3"/>
    <x v="1"/>
  </r>
  <r>
    <n v="7"/>
    <x v="1"/>
    <s v="Friday"/>
    <d v="2025-02-14T00:00:00"/>
    <x v="20"/>
    <x v="531"/>
    <x v="0"/>
    <x v="1"/>
  </r>
  <r>
    <n v="7"/>
    <x v="1"/>
    <s v="Friday"/>
    <d v="2025-02-14T00:00:00"/>
    <x v="21"/>
    <x v="532"/>
    <x v="3"/>
    <x v="1"/>
  </r>
  <r>
    <n v="7"/>
    <x v="1"/>
    <s v="Friday"/>
    <d v="2025-02-14T00:00:00"/>
    <x v="22"/>
    <x v="533"/>
    <x v="2"/>
    <x v="2"/>
  </r>
  <r>
    <n v="7"/>
    <x v="1"/>
    <s v="Friday"/>
    <d v="2025-02-14T00:00:00"/>
    <x v="23"/>
    <x v="534"/>
    <x v="1"/>
    <x v="0"/>
  </r>
  <r>
    <n v="7"/>
    <x v="1"/>
    <s v="Friday"/>
    <d v="2025-02-14T00:00:00"/>
    <x v="24"/>
    <x v="535"/>
    <x v="3"/>
    <x v="1"/>
  </r>
  <r>
    <n v="8"/>
    <x v="1"/>
    <s v="Tuesday"/>
    <d v="2025-02-18T00:00:00"/>
    <x v="0"/>
    <x v="536"/>
    <x v="2"/>
    <x v="1"/>
  </r>
  <r>
    <n v="8"/>
    <x v="1"/>
    <s v="Tuesday"/>
    <d v="2025-02-18T00:00:00"/>
    <x v="1"/>
    <x v="537"/>
    <x v="2"/>
    <x v="1"/>
  </r>
  <r>
    <n v="8"/>
    <x v="1"/>
    <s v="Tuesday"/>
    <d v="2025-02-18T00:00:00"/>
    <x v="2"/>
    <x v="538"/>
    <x v="2"/>
    <x v="2"/>
  </r>
  <r>
    <n v="8"/>
    <x v="1"/>
    <s v="Tuesday"/>
    <d v="2025-02-18T00:00:00"/>
    <x v="3"/>
    <x v="539"/>
    <x v="0"/>
    <x v="1"/>
  </r>
  <r>
    <n v="8"/>
    <x v="1"/>
    <s v="Tuesday"/>
    <d v="2025-02-18T00:00:00"/>
    <x v="4"/>
    <x v="540"/>
    <x v="3"/>
    <x v="1"/>
  </r>
  <r>
    <n v="8"/>
    <x v="1"/>
    <s v="Tuesday"/>
    <d v="2025-02-18T00:00:00"/>
    <x v="5"/>
    <x v="538"/>
    <x v="0"/>
    <x v="2"/>
  </r>
  <r>
    <n v="8"/>
    <x v="1"/>
    <s v="Tuesday"/>
    <d v="2025-02-18T00:00:00"/>
    <x v="6"/>
    <x v="541"/>
    <x v="2"/>
    <x v="2"/>
  </r>
  <r>
    <n v="8"/>
    <x v="1"/>
    <s v="Tuesday"/>
    <d v="2025-02-18T00:00:00"/>
    <x v="7"/>
    <x v="542"/>
    <x v="1"/>
    <x v="0"/>
  </r>
  <r>
    <n v="8"/>
    <x v="1"/>
    <s v="Tuesday"/>
    <d v="2025-02-18T00:00:00"/>
    <x v="8"/>
    <x v="543"/>
    <x v="0"/>
    <x v="2"/>
  </r>
  <r>
    <n v="8"/>
    <x v="1"/>
    <s v="Tuesday"/>
    <d v="2025-02-18T00:00:00"/>
    <x v="9"/>
    <x v="544"/>
    <x v="1"/>
    <x v="1"/>
  </r>
  <r>
    <n v="8"/>
    <x v="1"/>
    <s v="Tuesday"/>
    <d v="2025-02-18T00:00:00"/>
    <x v="10"/>
    <x v="545"/>
    <x v="0"/>
    <x v="1"/>
  </r>
  <r>
    <n v="8"/>
    <x v="1"/>
    <s v="Tuesday"/>
    <d v="2025-02-18T00:00:00"/>
    <x v="11"/>
    <x v="546"/>
    <x v="2"/>
    <x v="1"/>
  </r>
  <r>
    <n v="8"/>
    <x v="1"/>
    <s v="Tuesday"/>
    <d v="2025-02-18T00:00:00"/>
    <x v="12"/>
    <x v="547"/>
    <x v="0"/>
    <x v="2"/>
  </r>
  <r>
    <n v="8"/>
    <x v="1"/>
    <s v="Tuesday"/>
    <d v="2025-02-18T00:00:00"/>
    <x v="13"/>
    <x v="548"/>
    <x v="2"/>
    <x v="2"/>
  </r>
  <r>
    <n v="8"/>
    <x v="1"/>
    <s v="Tuesday"/>
    <d v="2025-02-18T00:00:00"/>
    <x v="14"/>
    <x v="549"/>
    <x v="1"/>
    <x v="0"/>
  </r>
  <r>
    <n v="8"/>
    <x v="1"/>
    <s v="Tuesday"/>
    <d v="2025-02-18T00:00:00"/>
    <x v="15"/>
    <x v="550"/>
    <x v="2"/>
    <x v="2"/>
  </r>
  <r>
    <n v="8"/>
    <x v="1"/>
    <s v="Tuesday"/>
    <d v="2025-02-18T00:00:00"/>
    <x v="16"/>
    <x v="551"/>
    <x v="2"/>
    <x v="0"/>
  </r>
  <r>
    <n v="8"/>
    <x v="1"/>
    <s v="Tuesday"/>
    <d v="2025-02-18T00:00:00"/>
    <x v="17"/>
    <x v="552"/>
    <x v="2"/>
    <x v="1"/>
  </r>
  <r>
    <n v="8"/>
    <x v="1"/>
    <s v="Tuesday"/>
    <d v="2025-02-18T00:00:00"/>
    <x v="18"/>
    <x v="553"/>
    <x v="1"/>
    <x v="0"/>
  </r>
  <r>
    <n v="8"/>
    <x v="1"/>
    <s v="Tuesday"/>
    <d v="2025-02-18T00:00:00"/>
    <x v="19"/>
    <x v="554"/>
    <x v="0"/>
    <x v="0"/>
  </r>
  <r>
    <n v="8"/>
    <x v="1"/>
    <s v="Tuesday"/>
    <d v="2025-02-18T00:00:00"/>
    <x v="20"/>
    <x v="555"/>
    <x v="3"/>
    <x v="1"/>
  </r>
  <r>
    <n v="8"/>
    <x v="1"/>
    <s v="Tuesday"/>
    <d v="2025-02-18T00:00:00"/>
    <x v="21"/>
    <x v="556"/>
    <x v="2"/>
    <x v="1"/>
  </r>
  <r>
    <n v="8"/>
    <x v="1"/>
    <s v="Tuesday"/>
    <d v="2025-02-18T00:00:00"/>
    <x v="22"/>
    <x v="557"/>
    <x v="3"/>
    <x v="2"/>
  </r>
  <r>
    <n v="8"/>
    <x v="1"/>
    <s v="Tuesday"/>
    <d v="2025-02-18T00:00:00"/>
    <x v="23"/>
    <x v="558"/>
    <x v="2"/>
    <x v="2"/>
  </r>
  <r>
    <n v="8"/>
    <x v="1"/>
    <s v="Tuesday"/>
    <d v="2025-02-18T00:00:00"/>
    <x v="24"/>
    <x v="559"/>
    <x v="2"/>
    <x v="1"/>
  </r>
  <r>
    <n v="8"/>
    <x v="1"/>
    <s v="Tuesday"/>
    <d v="2025-02-18T00:00:00"/>
    <x v="25"/>
    <x v="560"/>
    <x v="3"/>
    <x v="1"/>
  </r>
  <r>
    <n v="8"/>
    <x v="1"/>
    <s v="Tuesday"/>
    <d v="2025-02-18T00:00:00"/>
    <x v="26"/>
    <x v="561"/>
    <x v="2"/>
    <x v="0"/>
  </r>
  <r>
    <n v="8"/>
    <x v="1"/>
    <s v="Tuesday"/>
    <d v="2025-02-18T00:00:00"/>
    <x v="27"/>
    <x v="562"/>
    <x v="2"/>
    <x v="2"/>
  </r>
  <r>
    <n v="8"/>
    <x v="1"/>
    <s v="Tuesday"/>
    <d v="2025-02-18T00:00:00"/>
    <x v="28"/>
    <x v="563"/>
    <x v="3"/>
    <x v="2"/>
  </r>
  <r>
    <n v="8"/>
    <x v="1"/>
    <s v="Tuesday"/>
    <d v="2025-02-18T00:00:00"/>
    <x v="29"/>
    <x v="564"/>
    <x v="0"/>
    <x v="1"/>
  </r>
  <r>
    <n v="8"/>
    <x v="1"/>
    <s v="Tuesday"/>
    <d v="2025-02-18T00:00:00"/>
    <x v="30"/>
    <x v="565"/>
    <x v="1"/>
    <x v="0"/>
  </r>
  <r>
    <n v="8"/>
    <x v="1"/>
    <s v="Wednesday"/>
    <d v="2025-02-19T00:00:00"/>
    <x v="0"/>
    <x v="566"/>
    <x v="1"/>
    <x v="1"/>
  </r>
  <r>
    <n v="8"/>
    <x v="1"/>
    <s v="Wednesday"/>
    <d v="2025-02-19T00:00:00"/>
    <x v="1"/>
    <x v="567"/>
    <x v="2"/>
    <x v="1"/>
  </r>
  <r>
    <n v="8"/>
    <x v="1"/>
    <s v="Wednesday"/>
    <d v="2025-02-19T00:00:00"/>
    <x v="2"/>
    <x v="568"/>
    <x v="3"/>
    <x v="1"/>
  </r>
  <r>
    <n v="8"/>
    <x v="1"/>
    <s v="Wednesday"/>
    <d v="2025-02-19T00:00:00"/>
    <x v="3"/>
    <x v="569"/>
    <x v="3"/>
    <x v="1"/>
  </r>
  <r>
    <n v="8"/>
    <x v="1"/>
    <s v="Wednesday"/>
    <d v="2025-02-19T00:00:00"/>
    <x v="4"/>
    <x v="570"/>
    <x v="0"/>
    <x v="2"/>
  </r>
  <r>
    <n v="8"/>
    <x v="1"/>
    <s v="Wednesday"/>
    <d v="2025-02-19T00:00:00"/>
    <x v="5"/>
    <x v="571"/>
    <x v="0"/>
    <x v="0"/>
  </r>
  <r>
    <n v="8"/>
    <x v="1"/>
    <s v="Wednesday"/>
    <d v="2025-02-19T00:00:00"/>
    <x v="6"/>
    <x v="572"/>
    <x v="1"/>
    <x v="0"/>
  </r>
  <r>
    <n v="8"/>
    <x v="1"/>
    <s v="Wednesday"/>
    <d v="2025-02-19T00:00:00"/>
    <x v="7"/>
    <x v="573"/>
    <x v="3"/>
    <x v="1"/>
  </r>
  <r>
    <n v="8"/>
    <x v="1"/>
    <s v="Wednesday"/>
    <d v="2025-02-19T00:00:00"/>
    <x v="8"/>
    <x v="574"/>
    <x v="0"/>
    <x v="2"/>
  </r>
  <r>
    <n v="8"/>
    <x v="1"/>
    <s v="Wednesday"/>
    <d v="2025-02-19T00:00:00"/>
    <x v="9"/>
    <x v="575"/>
    <x v="2"/>
    <x v="1"/>
  </r>
  <r>
    <n v="8"/>
    <x v="1"/>
    <s v="Wednesday"/>
    <d v="2025-02-19T00:00:00"/>
    <x v="10"/>
    <x v="576"/>
    <x v="2"/>
    <x v="1"/>
  </r>
  <r>
    <n v="8"/>
    <x v="1"/>
    <s v="Wednesday"/>
    <d v="2025-02-19T00:00:00"/>
    <x v="11"/>
    <x v="577"/>
    <x v="0"/>
    <x v="0"/>
  </r>
  <r>
    <n v="8"/>
    <x v="1"/>
    <s v="Wednesday"/>
    <d v="2025-02-19T00:00:00"/>
    <x v="12"/>
    <x v="578"/>
    <x v="1"/>
    <x v="0"/>
  </r>
  <r>
    <n v="8"/>
    <x v="1"/>
    <s v="Wednesday"/>
    <d v="2025-02-19T00:00:00"/>
    <x v="13"/>
    <x v="579"/>
    <x v="0"/>
    <x v="2"/>
  </r>
  <r>
    <n v="8"/>
    <x v="1"/>
    <s v="Wednesday"/>
    <d v="2025-02-19T00:00:00"/>
    <x v="14"/>
    <x v="580"/>
    <x v="2"/>
    <x v="1"/>
  </r>
  <r>
    <n v="8"/>
    <x v="1"/>
    <s v="Wednesday"/>
    <d v="2025-02-19T00:00:00"/>
    <x v="15"/>
    <x v="581"/>
    <x v="2"/>
    <x v="2"/>
  </r>
  <r>
    <n v="8"/>
    <x v="1"/>
    <s v="Wednesday"/>
    <d v="2025-02-19T00:00:00"/>
    <x v="16"/>
    <x v="582"/>
    <x v="0"/>
    <x v="2"/>
  </r>
  <r>
    <n v="8"/>
    <x v="1"/>
    <s v="Wednesday"/>
    <d v="2025-02-19T00:00:00"/>
    <x v="17"/>
    <x v="583"/>
    <x v="3"/>
    <x v="2"/>
  </r>
  <r>
    <n v="8"/>
    <x v="1"/>
    <s v="Wednesday"/>
    <d v="2025-02-19T00:00:00"/>
    <x v="18"/>
    <x v="584"/>
    <x v="2"/>
    <x v="1"/>
  </r>
  <r>
    <n v="8"/>
    <x v="1"/>
    <s v="Wednesday"/>
    <d v="2025-02-19T00:00:00"/>
    <x v="19"/>
    <x v="575"/>
    <x v="1"/>
    <x v="1"/>
  </r>
  <r>
    <n v="8"/>
    <x v="1"/>
    <s v="Wednesday"/>
    <d v="2025-02-19T00:00:00"/>
    <x v="20"/>
    <x v="585"/>
    <x v="2"/>
    <x v="1"/>
  </r>
  <r>
    <n v="8"/>
    <x v="1"/>
    <s v="Wednesday"/>
    <d v="2025-02-19T00:00:00"/>
    <x v="21"/>
    <x v="575"/>
    <x v="3"/>
    <x v="1"/>
  </r>
  <r>
    <n v="8"/>
    <x v="1"/>
    <s v="Wednesday"/>
    <d v="2025-02-19T00:00:00"/>
    <x v="22"/>
    <x v="586"/>
    <x v="1"/>
    <x v="1"/>
  </r>
  <r>
    <n v="8"/>
    <x v="1"/>
    <s v="Wednesday"/>
    <d v="2025-02-19T00:00:00"/>
    <x v="23"/>
    <x v="587"/>
    <x v="2"/>
    <x v="1"/>
  </r>
  <r>
    <n v="8"/>
    <x v="1"/>
    <s v="Wednesday"/>
    <d v="2025-02-19T00:00:00"/>
    <x v="24"/>
    <x v="588"/>
    <x v="2"/>
    <x v="0"/>
  </r>
  <r>
    <n v="8"/>
    <x v="1"/>
    <s v="Thursday"/>
    <d v="2025-02-20T00:00:00"/>
    <x v="0"/>
    <x v="589"/>
    <x v="0"/>
    <x v="1"/>
  </r>
  <r>
    <n v="8"/>
    <x v="1"/>
    <s v="Thursday"/>
    <d v="2025-02-20T00:00:00"/>
    <x v="1"/>
    <x v="590"/>
    <x v="3"/>
    <x v="0"/>
  </r>
  <r>
    <n v="8"/>
    <x v="1"/>
    <s v="Thursday"/>
    <d v="2025-02-20T00:00:00"/>
    <x v="2"/>
    <x v="591"/>
    <x v="3"/>
    <x v="1"/>
  </r>
  <r>
    <n v="8"/>
    <x v="1"/>
    <s v="Thursday"/>
    <d v="2025-02-20T00:00:00"/>
    <x v="3"/>
    <x v="592"/>
    <x v="3"/>
    <x v="1"/>
  </r>
  <r>
    <n v="8"/>
    <x v="1"/>
    <s v="Thursday"/>
    <d v="2025-02-20T00:00:00"/>
    <x v="4"/>
    <x v="593"/>
    <x v="0"/>
    <x v="0"/>
  </r>
  <r>
    <n v="8"/>
    <x v="1"/>
    <s v="Thursday"/>
    <d v="2025-02-20T00:00:00"/>
    <x v="5"/>
    <x v="594"/>
    <x v="2"/>
    <x v="0"/>
  </r>
  <r>
    <n v="8"/>
    <x v="1"/>
    <s v="Thursday"/>
    <d v="2025-02-20T00:00:00"/>
    <x v="6"/>
    <x v="595"/>
    <x v="2"/>
    <x v="1"/>
  </r>
  <r>
    <n v="8"/>
    <x v="1"/>
    <s v="Thursday"/>
    <d v="2025-02-20T00:00:00"/>
    <x v="7"/>
    <x v="596"/>
    <x v="0"/>
    <x v="1"/>
  </r>
  <r>
    <n v="8"/>
    <x v="1"/>
    <s v="Thursday"/>
    <d v="2025-02-20T00:00:00"/>
    <x v="8"/>
    <x v="597"/>
    <x v="2"/>
    <x v="2"/>
  </r>
  <r>
    <n v="8"/>
    <x v="1"/>
    <s v="Thursday"/>
    <d v="2025-02-20T00:00:00"/>
    <x v="9"/>
    <x v="598"/>
    <x v="3"/>
    <x v="2"/>
  </r>
  <r>
    <n v="8"/>
    <x v="1"/>
    <s v="Thursday"/>
    <d v="2025-02-20T00:00:00"/>
    <x v="10"/>
    <x v="599"/>
    <x v="2"/>
    <x v="2"/>
  </r>
  <r>
    <n v="8"/>
    <x v="1"/>
    <s v="Thursday"/>
    <d v="2025-02-20T00:00:00"/>
    <x v="11"/>
    <x v="600"/>
    <x v="1"/>
    <x v="1"/>
  </r>
  <r>
    <n v="8"/>
    <x v="1"/>
    <s v="Thursday"/>
    <d v="2025-02-20T00:00:00"/>
    <x v="12"/>
    <x v="601"/>
    <x v="2"/>
    <x v="1"/>
  </r>
  <r>
    <n v="8"/>
    <x v="1"/>
    <s v="Thursday"/>
    <d v="2025-02-20T00:00:00"/>
    <x v="13"/>
    <x v="602"/>
    <x v="1"/>
    <x v="0"/>
  </r>
  <r>
    <n v="8"/>
    <x v="1"/>
    <s v="Thursday"/>
    <d v="2025-02-20T00:00:00"/>
    <x v="14"/>
    <x v="603"/>
    <x v="2"/>
    <x v="2"/>
  </r>
  <r>
    <n v="8"/>
    <x v="1"/>
    <s v="Thursday"/>
    <d v="2025-02-20T00:00:00"/>
    <x v="15"/>
    <x v="604"/>
    <x v="2"/>
    <x v="1"/>
  </r>
  <r>
    <n v="8"/>
    <x v="1"/>
    <s v="Thursday"/>
    <d v="2025-02-20T00:00:00"/>
    <x v="16"/>
    <x v="586"/>
    <x v="3"/>
    <x v="1"/>
  </r>
  <r>
    <n v="8"/>
    <x v="1"/>
    <s v="Thursday"/>
    <d v="2025-02-20T00:00:00"/>
    <x v="17"/>
    <x v="605"/>
    <x v="2"/>
    <x v="1"/>
  </r>
  <r>
    <n v="8"/>
    <x v="1"/>
    <s v="Thursday"/>
    <d v="2025-02-20T00:00:00"/>
    <x v="18"/>
    <x v="606"/>
    <x v="2"/>
    <x v="1"/>
  </r>
  <r>
    <n v="8"/>
    <x v="1"/>
    <s v="Thursday"/>
    <d v="2025-02-20T00:00:00"/>
    <x v="19"/>
    <x v="607"/>
    <x v="1"/>
    <x v="1"/>
  </r>
  <r>
    <n v="8"/>
    <x v="1"/>
    <s v="Thursday"/>
    <d v="2025-02-20T00:00:00"/>
    <x v="20"/>
    <x v="608"/>
    <x v="0"/>
    <x v="2"/>
  </r>
  <r>
    <n v="8"/>
    <x v="1"/>
    <s v="Thursday"/>
    <d v="2025-02-20T00:00:00"/>
    <x v="21"/>
    <x v="609"/>
    <x v="2"/>
    <x v="2"/>
  </r>
  <r>
    <n v="8"/>
    <x v="1"/>
    <s v="Thursday"/>
    <d v="2025-02-20T00:00:00"/>
    <x v="22"/>
    <x v="610"/>
    <x v="0"/>
    <x v="2"/>
  </r>
  <r>
    <n v="8"/>
    <x v="1"/>
    <s v="Friday"/>
    <d v="2025-02-21T00:00:00"/>
    <x v="0"/>
    <x v="596"/>
    <x v="0"/>
    <x v="1"/>
  </r>
  <r>
    <n v="8"/>
    <x v="1"/>
    <s v="Friday"/>
    <d v="2025-02-21T00:00:00"/>
    <x v="1"/>
    <x v="611"/>
    <x v="2"/>
    <x v="2"/>
  </r>
  <r>
    <n v="8"/>
    <x v="1"/>
    <s v="Friday"/>
    <d v="2025-02-21T00:00:00"/>
    <x v="2"/>
    <x v="612"/>
    <x v="2"/>
    <x v="1"/>
  </r>
  <r>
    <n v="8"/>
    <x v="1"/>
    <s v="Friday"/>
    <d v="2025-02-21T00:00:00"/>
    <x v="3"/>
    <x v="613"/>
    <x v="2"/>
    <x v="1"/>
  </r>
  <r>
    <n v="8"/>
    <x v="1"/>
    <s v="Friday"/>
    <d v="2025-02-21T00:00:00"/>
    <x v="4"/>
    <x v="614"/>
    <x v="2"/>
    <x v="1"/>
  </r>
  <r>
    <n v="8"/>
    <x v="1"/>
    <s v="Friday"/>
    <d v="2025-02-21T00:00:00"/>
    <x v="5"/>
    <x v="615"/>
    <x v="1"/>
    <x v="0"/>
  </r>
  <r>
    <n v="8"/>
    <x v="1"/>
    <s v="Friday"/>
    <d v="2025-02-21T00:00:00"/>
    <x v="6"/>
    <x v="616"/>
    <x v="2"/>
    <x v="1"/>
  </r>
  <r>
    <n v="8"/>
    <x v="1"/>
    <s v="Friday"/>
    <d v="2025-02-21T00:00:00"/>
    <x v="7"/>
    <x v="617"/>
    <x v="3"/>
    <x v="1"/>
  </r>
  <r>
    <n v="8"/>
    <x v="1"/>
    <s v="Friday"/>
    <d v="2025-02-21T00:00:00"/>
    <x v="8"/>
    <x v="618"/>
    <x v="0"/>
    <x v="2"/>
  </r>
  <r>
    <n v="8"/>
    <x v="1"/>
    <s v="Friday"/>
    <d v="2025-02-21T00:00:00"/>
    <x v="9"/>
    <x v="619"/>
    <x v="0"/>
    <x v="0"/>
  </r>
  <r>
    <n v="8"/>
    <x v="1"/>
    <s v="Friday"/>
    <d v="2025-02-21T00:00:00"/>
    <x v="10"/>
    <x v="620"/>
    <x v="0"/>
    <x v="1"/>
  </r>
  <r>
    <n v="8"/>
    <x v="1"/>
    <s v="Friday"/>
    <d v="2025-02-21T00:00:00"/>
    <x v="11"/>
    <x v="621"/>
    <x v="0"/>
    <x v="0"/>
  </r>
  <r>
    <n v="8"/>
    <x v="1"/>
    <s v="Friday"/>
    <d v="2025-02-21T00:00:00"/>
    <x v="12"/>
    <x v="622"/>
    <x v="3"/>
    <x v="1"/>
  </r>
  <r>
    <n v="8"/>
    <x v="1"/>
    <s v="Friday"/>
    <d v="2025-02-21T00:00:00"/>
    <x v="13"/>
    <x v="358"/>
    <x v="3"/>
    <x v="1"/>
  </r>
  <r>
    <n v="8"/>
    <x v="1"/>
    <s v="Friday"/>
    <d v="2025-02-21T00:00:00"/>
    <x v="14"/>
    <x v="467"/>
    <x v="3"/>
    <x v="1"/>
  </r>
  <r>
    <n v="8"/>
    <x v="1"/>
    <s v="Friday"/>
    <d v="2025-02-21T00:00:00"/>
    <x v="15"/>
    <x v="623"/>
    <x v="2"/>
    <x v="2"/>
  </r>
  <r>
    <n v="8"/>
    <x v="1"/>
    <s v="Friday"/>
    <d v="2025-02-21T00:00:00"/>
    <x v="16"/>
    <x v="624"/>
    <x v="1"/>
    <x v="0"/>
  </r>
  <r>
    <n v="8"/>
    <x v="1"/>
    <s v="Friday"/>
    <d v="2025-02-21T00:00:00"/>
    <x v="17"/>
    <x v="625"/>
    <x v="2"/>
    <x v="0"/>
  </r>
  <r>
    <n v="8"/>
    <x v="1"/>
    <s v="Friday"/>
    <d v="2025-02-21T00:00:00"/>
    <x v="18"/>
    <x v="626"/>
    <x v="3"/>
    <x v="2"/>
  </r>
  <r>
    <n v="8"/>
    <x v="1"/>
    <s v="Friday"/>
    <d v="2025-02-21T00:00:00"/>
    <x v="19"/>
    <x v="627"/>
    <x v="2"/>
    <x v="2"/>
  </r>
  <r>
    <n v="8"/>
    <x v="1"/>
    <s v="Friday"/>
    <d v="2025-02-21T00:00:00"/>
    <x v="20"/>
    <x v="628"/>
    <x v="3"/>
    <x v="1"/>
  </r>
  <r>
    <n v="8"/>
    <x v="1"/>
    <s v="Friday"/>
    <d v="2025-02-21T00:00:00"/>
    <x v="21"/>
    <x v="629"/>
    <x v="0"/>
    <x v="1"/>
  </r>
  <r>
    <n v="8"/>
    <x v="1"/>
    <s v="Friday"/>
    <d v="2025-02-21T00:00:00"/>
    <x v="22"/>
    <x v="630"/>
    <x v="1"/>
    <x v="1"/>
  </r>
  <r>
    <n v="8"/>
    <x v="1"/>
    <s v="Friday"/>
    <d v="2025-02-21T00:00:00"/>
    <x v="23"/>
    <x v="631"/>
    <x v="0"/>
    <x v="0"/>
  </r>
  <r>
    <n v="8"/>
    <x v="1"/>
    <s v="Friday"/>
    <d v="2025-02-21T00:00:00"/>
    <x v="24"/>
    <x v="632"/>
    <x v="2"/>
    <x v="0"/>
  </r>
  <r>
    <n v="8"/>
    <x v="1"/>
    <s v="Friday"/>
    <d v="2025-02-21T00:00:00"/>
    <x v="25"/>
    <x v="633"/>
    <x v="2"/>
    <x v="1"/>
  </r>
  <r>
    <n v="8"/>
    <x v="1"/>
    <s v="Friday"/>
    <d v="2025-02-21T00:00:00"/>
    <x v="26"/>
    <x v="634"/>
    <x v="2"/>
    <x v="0"/>
  </r>
  <r>
    <n v="8"/>
    <x v="1"/>
    <s v="Saturday"/>
    <d v="2025-02-22T00:00:00"/>
    <x v="0"/>
    <x v="635"/>
    <x v="2"/>
    <x v="1"/>
  </r>
  <r>
    <n v="8"/>
    <x v="1"/>
    <s v="Saturday"/>
    <d v="2025-02-22T00:00:00"/>
    <x v="1"/>
    <x v="636"/>
    <x v="2"/>
    <x v="0"/>
  </r>
  <r>
    <n v="8"/>
    <x v="1"/>
    <s v="Saturday"/>
    <d v="2025-02-22T00:00:00"/>
    <x v="2"/>
    <x v="637"/>
    <x v="2"/>
    <x v="1"/>
  </r>
  <r>
    <n v="8"/>
    <x v="1"/>
    <s v="Saturday"/>
    <d v="2025-02-22T00:00:00"/>
    <x v="3"/>
    <x v="638"/>
    <x v="3"/>
    <x v="2"/>
  </r>
  <r>
    <n v="8"/>
    <x v="1"/>
    <s v="Saturday"/>
    <d v="2025-02-22T00:00:00"/>
    <x v="4"/>
    <x v="639"/>
    <x v="3"/>
    <x v="1"/>
  </r>
  <r>
    <n v="8"/>
    <x v="1"/>
    <s v="Saturday"/>
    <d v="2025-02-22T00:00:00"/>
    <x v="5"/>
    <x v="640"/>
    <x v="2"/>
    <x v="0"/>
  </r>
  <r>
    <n v="8"/>
    <x v="1"/>
    <s v="Saturday"/>
    <d v="2025-02-22T00:00:00"/>
    <x v="6"/>
    <x v="641"/>
    <x v="2"/>
    <x v="1"/>
  </r>
  <r>
    <n v="8"/>
    <x v="1"/>
    <s v="Saturday"/>
    <d v="2025-02-22T00:00:00"/>
    <x v="7"/>
    <x v="642"/>
    <x v="2"/>
    <x v="0"/>
  </r>
  <r>
    <n v="8"/>
    <x v="1"/>
    <s v="Saturday"/>
    <d v="2025-02-22T00:00:00"/>
    <x v="8"/>
    <x v="643"/>
    <x v="2"/>
    <x v="1"/>
  </r>
  <r>
    <n v="8"/>
    <x v="1"/>
    <s v="Saturday"/>
    <d v="2025-02-22T00:00:00"/>
    <x v="9"/>
    <x v="644"/>
    <x v="1"/>
    <x v="1"/>
  </r>
  <r>
    <n v="8"/>
    <x v="1"/>
    <s v="Saturday"/>
    <d v="2025-02-22T00:00:00"/>
    <x v="10"/>
    <x v="645"/>
    <x v="0"/>
    <x v="1"/>
  </r>
  <r>
    <n v="8"/>
    <x v="1"/>
    <s v="Saturday"/>
    <d v="2025-02-22T00:00:00"/>
    <x v="11"/>
    <x v="646"/>
    <x v="2"/>
    <x v="0"/>
  </r>
  <r>
    <n v="8"/>
    <x v="1"/>
    <s v="Saturday"/>
    <d v="2025-02-22T00:00:00"/>
    <x v="12"/>
    <x v="644"/>
    <x v="0"/>
    <x v="1"/>
  </r>
  <r>
    <n v="8"/>
    <x v="1"/>
    <s v="Saturday"/>
    <d v="2025-02-22T00:00:00"/>
    <x v="13"/>
    <x v="647"/>
    <x v="1"/>
    <x v="1"/>
  </r>
  <r>
    <n v="8"/>
    <x v="1"/>
    <s v="Saturday"/>
    <d v="2025-02-22T00:00:00"/>
    <x v="14"/>
    <x v="648"/>
    <x v="2"/>
    <x v="0"/>
  </r>
  <r>
    <n v="8"/>
    <x v="1"/>
    <s v="Saturday"/>
    <d v="2025-02-22T00:00:00"/>
    <x v="15"/>
    <x v="649"/>
    <x v="2"/>
    <x v="0"/>
  </r>
  <r>
    <n v="8"/>
    <x v="1"/>
    <s v="Saturday"/>
    <d v="2025-02-22T00:00:00"/>
    <x v="16"/>
    <x v="650"/>
    <x v="0"/>
    <x v="2"/>
  </r>
  <r>
    <n v="8"/>
    <x v="1"/>
    <s v="Saturday"/>
    <d v="2025-02-22T00:00:00"/>
    <x v="17"/>
    <x v="651"/>
    <x v="2"/>
    <x v="0"/>
  </r>
  <r>
    <n v="8"/>
    <x v="1"/>
    <s v="Saturday"/>
    <d v="2025-02-22T00:00:00"/>
    <x v="18"/>
    <x v="652"/>
    <x v="3"/>
    <x v="1"/>
  </r>
  <r>
    <n v="8"/>
    <x v="1"/>
    <s v="Saturday"/>
    <d v="2025-02-22T00:00:00"/>
    <x v="19"/>
    <x v="653"/>
    <x v="3"/>
    <x v="1"/>
  </r>
  <r>
    <n v="8"/>
    <x v="1"/>
    <s v="Saturday"/>
    <d v="2025-02-22T00:00:00"/>
    <x v="20"/>
    <x v="654"/>
    <x v="1"/>
    <x v="0"/>
  </r>
  <r>
    <n v="8"/>
    <x v="1"/>
    <s v="Saturday"/>
    <d v="2025-02-22T00:00:00"/>
    <x v="21"/>
    <x v="655"/>
    <x v="2"/>
    <x v="1"/>
  </r>
  <r>
    <n v="8"/>
    <x v="1"/>
    <s v="Saturday"/>
    <d v="2025-02-22T00:00:00"/>
    <x v="22"/>
    <x v="656"/>
    <x v="2"/>
    <x v="1"/>
  </r>
  <r>
    <n v="8"/>
    <x v="1"/>
    <s v="Saturday"/>
    <d v="2025-02-22T00:00:00"/>
    <x v="23"/>
    <x v="657"/>
    <x v="0"/>
    <x v="2"/>
  </r>
  <r>
    <n v="8"/>
    <x v="1"/>
    <s v="Saturday"/>
    <d v="2025-02-22T00:00:00"/>
    <x v="24"/>
    <x v="658"/>
    <x v="2"/>
    <x v="2"/>
  </r>
  <r>
    <n v="8"/>
    <x v="1"/>
    <s v="Saturday"/>
    <d v="2025-02-22T00:00:00"/>
    <x v="25"/>
    <x v="659"/>
    <x v="2"/>
    <x v="2"/>
  </r>
  <r>
    <n v="8"/>
    <x v="1"/>
    <s v="Saturday"/>
    <d v="2025-02-22T00:00:00"/>
    <x v="26"/>
    <x v="489"/>
    <x v="3"/>
    <x v="1"/>
  </r>
  <r>
    <n v="8"/>
    <x v="1"/>
    <s v="Saturday"/>
    <d v="2025-02-22T00:00:00"/>
    <x v="27"/>
    <x v="660"/>
    <x v="2"/>
    <x v="2"/>
  </r>
  <r>
    <n v="8"/>
    <x v="1"/>
    <s v="Saturday"/>
    <d v="2025-02-22T00:00:00"/>
    <x v="28"/>
    <x v="661"/>
    <x v="3"/>
    <x v="1"/>
  </r>
  <r>
    <n v="9"/>
    <x v="1"/>
    <s v="Tuesday"/>
    <d v="2025-02-25T00:00:00"/>
    <x v="0"/>
    <x v="662"/>
    <x v="2"/>
    <x v="1"/>
  </r>
  <r>
    <n v="9"/>
    <x v="1"/>
    <s v="Tuesday"/>
    <d v="2025-02-25T00:00:00"/>
    <x v="1"/>
    <x v="663"/>
    <x v="2"/>
    <x v="1"/>
  </r>
  <r>
    <n v="9"/>
    <x v="1"/>
    <s v="Tuesday"/>
    <d v="2025-02-25T00:00:00"/>
    <x v="2"/>
    <x v="664"/>
    <x v="3"/>
    <x v="1"/>
  </r>
  <r>
    <n v="9"/>
    <x v="1"/>
    <s v="Tuesday"/>
    <d v="2025-02-25T00:00:00"/>
    <x v="3"/>
    <x v="665"/>
    <x v="2"/>
    <x v="2"/>
  </r>
  <r>
    <n v="9"/>
    <x v="1"/>
    <s v="Tuesday"/>
    <d v="2025-02-25T00:00:00"/>
    <x v="4"/>
    <x v="666"/>
    <x v="1"/>
    <x v="0"/>
  </r>
  <r>
    <n v="9"/>
    <x v="1"/>
    <s v="Tuesday"/>
    <d v="2025-02-25T00:00:00"/>
    <x v="5"/>
    <x v="667"/>
    <x v="2"/>
    <x v="2"/>
  </r>
  <r>
    <n v="9"/>
    <x v="1"/>
    <s v="Tuesday"/>
    <d v="2025-02-25T00:00:00"/>
    <x v="6"/>
    <x v="668"/>
    <x v="0"/>
    <x v="2"/>
  </r>
  <r>
    <n v="9"/>
    <x v="1"/>
    <s v="Tuesday"/>
    <d v="2025-02-25T00:00:00"/>
    <x v="7"/>
    <x v="669"/>
    <x v="3"/>
    <x v="1"/>
  </r>
  <r>
    <n v="9"/>
    <x v="1"/>
    <s v="Tuesday"/>
    <d v="2025-02-25T00:00:00"/>
    <x v="8"/>
    <x v="670"/>
    <x v="3"/>
    <x v="1"/>
  </r>
  <r>
    <n v="9"/>
    <x v="1"/>
    <s v="Tuesday"/>
    <d v="2025-02-25T00:00:00"/>
    <x v="9"/>
    <x v="671"/>
    <x v="2"/>
    <x v="2"/>
  </r>
  <r>
    <n v="9"/>
    <x v="1"/>
    <s v="Tuesday"/>
    <d v="2025-02-25T00:00:00"/>
    <x v="10"/>
    <x v="672"/>
    <x v="2"/>
    <x v="0"/>
  </r>
  <r>
    <n v="9"/>
    <x v="1"/>
    <s v="Tuesday"/>
    <d v="2025-02-25T00:00:00"/>
    <x v="11"/>
    <x v="673"/>
    <x v="0"/>
    <x v="2"/>
  </r>
  <r>
    <n v="9"/>
    <x v="1"/>
    <s v="Tuesday"/>
    <d v="2025-02-25T00:00:00"/>
    <x v="12"/>
    <x v="674"/>
    <x v="2"/>
    <x v="1"/>
  </r>
  <r>
    <n v="9"/>
    <x v="1"/>
    <s v="Tuesday"/>
    <d v="2025-02-25T00:00:00"/>
    <x v="13"/>
    <x v="675"/>
    <x v="0"/>
    <x v="0"/>
  </r>
  <r>
    <n v="9"/>
    <x v="1"/>
    <s v="Tuesday"/>
    <d v="2025-02-25T00:00:00"/>
    <x v="14"/>
    <x v="676"/>
    <x v="3"/>
    <x v="1"/>
  </r>
  <r>
    <n v="9"/>
    <x v="1"/>
    <s v="Tuesday"/>
    <d v="2025-02-25T00:00:00"/>
    <x v="15"/>
    <x v="677"/>
    <x v="1"/>
    <x v="0"/>
  </r>
  <r>
    <n v="9"/>
    <x v="1"/>
    <s v="Tuesday"/>
    <d v="2025-02-25T00:00:00"/>
    <x v="16"/>
    <x v="678"/>
    <x v="2"/>
    <x v="0"/>
  </r>
  <r>
    <n v="9"/>
    <x v="1"/>
    <s v="Tuesday"/>
    <d v="2025-02-25T00:00:00"/>
    <x v="17"/>
    <x v="679"/>
    <x v="2"/>
    <x v="0"/>
  </r>
  <r>
    <n v="9"/>
    <x v="1"/>
    <s v="Tuesday"/>
    <d v="2025-02-25T00:00:00"/>
    <x v="18"/>
    <x v="680"/>
    <x v="2"/>
    <x v="0"/>
  </r>
  <r>
    <n v="9"/>
    <x v="1"/>
    <s v="Tuesday"/>
    <d v="2025-02-25T00:00:00"/>
    <x v="19"/>
    <x v="681"/>
    <x v="0"/>
    <x v="0"/>
  </r>
  <r>
    <n v="9"/>
    <x v="1"/>
    <s v="Tuesday"/>
    <d v="2025-02-25T00:00:00"/>
    <x v="20"/>
    <x v="682"/>
    <x v="1"/>
    <x v="1"/>
  </r>
  <r>
    <n v="9"/>
    <x v="1"/>
    <s v="Tuesday"/>
    <d v="2025-02-25T00:00:00"/>
    <x v="21"/>
    <x v="683"/>
    <x v="2"/>
    <x v="1"/>
  </r>
  <r>
    <n v="9"/>
    <x v="1"/>
    <s v="Tuesday"/>
    <d v="2025-02-25T00:00:00"/>
    <x v="22"/>
    <x v="684"/>
    <x v="3"/>
    <x v="1"/>
  </r>
  <r>
    <n v="9"/>
    <x v="1"/>
    <s v="Tuesday"/>
    <d v="2025-02-25T00:00:00"/>
    <x v="23"/>
    <x v="685"/>
    <x v="3"/>
    <x v="1"/>
  </r>
  <r>
    <n v="9"/>
    <x v="1"/>
    <s v="Tuesday"/>
    <d v="2025-02-25T00:00:00"/>
    <x v="24"/>
    <x v="686"/>
    <x v="2"/>
    <x v="1"/>
  </r>
  <r>
    <n v="9"/>
    <x v="1"/>
    <s v="Tuesday"/>
    <d v="2025-02-25T00:00:00"/>
    <x v="25"/>
    <x v="687"/>
    <x v="3"/>
    <x v="1"/>
  </r>
  <r>
    <n v="9"/>
    <x v="1"/>
    <s v="Tuesday"/>
    <d v="2025-02-25T00:00:00"/>
    <x v="26"/>
    <x v="688"/>
    <x v="2"/>
    <x v="2"/>
  </r>
  <r>
    <n v="9"/>
    <x v="1"/>
    <s v="Tuesday"/>
    <d v="2025-02-25T00:00:00"/>
    <x v="27"/>
    <x v="689"/>
    <x v="0"/>
    <x v="1"/>
  </r>
  <r>
    <n v="9"/>
    <x v="1"/>
    <s v="Tuesday"/>
    <d v="2025-02-25T00:00:00"/>
    <x v="28"/>
    <x v="684"/>
    <x v="2"/>
    <x v="1"/>
  </r>
  <r>
    <n v="9"/>
    <x v="1"/>
    <s v="Wednesday"/>
    <d v="2025-02-26T00:00:00"/>
    <x v="0"/>
    <x v="690"/>
    <x v="1"/>
    <x v="1"/>
  </r>
  <r>
    <n v="9"/>
    <x v="1"/>
    <s v="Wednesday"/>
    <d v="2025-02-26T00:00:00"/>
    <x v="1"/>
    <x v="691"/>
    <x v="2"/>
    <x v="1"/>
  </r>
  <r>
    <n v="9"/>
    <x v="1"/>
    <s v="Wednesday"/>
    <d v="2025-02-26T00:00:00"/>
    <x v="2"/>
    <x v="692"/>
    <x v="2"/>
    <x v="1"/>
  </r>
  <r>
    <n v="9"/>
    <x v="1"/>
    <s v="Wednesday"/>
    <d v="2025-02-26T00:00:00"/>
    <x v="3"/>
    <x v="693"/>
    <x v="2"/>
    <x v="2"/>
  </r>
  <r>
    <n v="9"/>
    <x v="1"/>
    <s v="Wednesday"/>
    <d v="2025-02-26T00:00:00"/>
    <x v="4"/>
    <x v="694"/>
    <x v="0"/>
    <x v="2"/>
  </r>
  <r>
    <n v="9"/>
    <x v="1"/>
    <s v="Wednesday"/>
    <d v="2025-02-26T00:00:00"/>
    <x v="5"/>
    <x v="695"/>
    <x v="2"/>
    <x v="1"/>
  </r>
  <r>
    <n v="9"/>
    <x v="1"/>
    <s v="Wednesday"/>
    <d v="2025-02-26T00:00:00"/>
    <x v="6"/>
    <x v="696"/>
    <x v="0"/>
    <x v="2"/>
  </r>
  <r>
    <n v="9"/>
    <x v="1"/>
    <s v="Wednesday"/>
    <d v="2025-02-26T00:00:00"/>
    <x v="7"/>
    <x v="697"/>
    <x v="3"/>
    <x v="1"/>
  </r>
  <r>
    <n v="9"/>
    <x v="1"/>
    <s v="Wednesday"/>
    <d v="2025-02-26T00:00:00"/>
    <x v="8"/>
    <x v="698"/>
    <x v="3"/>
    <x v="2"/>
  </r>
  <r>
    <n v="9"/>
    <x v="1"/>
    <s v="Wednesday"/>
    <d v="2025-02-26T00:00:00"/>
    <x v="9"/>
    <x v="699"/>
    <x v="2"/>
    <x v="2"/>
  </r>
  <r>
    <n v="9"/>
    <x v="1"/>
    <s v="Wednesday"/>
    <d v="2025-02-26T00:00:00"/>
    <x v="10"/>
    <x v="700"/>
    <x v="0"/>
    <x v="2"/>
  </r>
  <r>
    <n v="9"/>
    <x v="1"/>
    <s v="Wednesday"/>
    <d v="2025-02-26T00:00:00"/>
    <x v="11"/>
    <x v="701"/>
    <x v="4"/>
    <x v="2"/>
  </r>
  <r>
    <n v="9"/>
    <x v="1"/>
    <s v="Wednesday"/>
    <d v="2025-02-26T00:00:00"/>
    <x v="12"/>
    <x v="702"/>
    <x v="3"/>
    <x v="1"/>
  </r>
  <r>
    <n v="9"/>
    <x v="1"/>
    <s v="Wednesday"/>
    <d v="2025-02-26T00:00:00"/>
    <x v="13"/>
    <x v="703"/>
    <x v="2"/>
    <x v="2"/>
  </r>
  <r>
    <n v="9"/>
    <x v="1"/>
    <s v="Wednesday"/>
    <d v="2025-02-26T00:00:00"/>
    <x v="14"/>
    <x v="704"/>
    <x v="2"/>
    <x v="1"/>
  </r>
  <r>
    <n v="9"/>
    <x v="1"/>
    <s v="Wednesday"/>
    <d v="2025-02-26T00:00:00"/>
    <x v="15"/>
    <x v="705"/>
    <x v="2"/>
    <x v="1"/>
  </r>
  <r>
    <n v="9"/>
    <x v="1"/>
    <s v="Wednesday"/>
    <d v="2025-02-26T00:00:00"/>
    <x v="16"/>
    <x v="706"/>
    <x v="0"/>
    <x v="0"/>
  </r>
  <r>
    <n v="9"/>
    <x v="1"/>
    <s v="Wednesday"/>
    <d v="2025-02-26T00:00:00"/>
    <x v="17"/>
    <x v="707"/>
    <x v="2"/>
    <x v="1"/>
  </r>
  <r>
    <n v="9"/>
    <x v="1"/>
    <s v="Wednesday"/>
    <d v="2025-02-26T00:00:00"/>
    <x v="18"/>
    <x v="708"/>
    <x v="2"/>
    <x v="0"/>
  </r>
  <r>
    <n v="9"/>
    <x v="1"/>
    <s v="Wednesday"/>
    <d v="2025-02-26T00:00:00"/>
    <x v="19"/>
    <x v="578"/>
    <x v="2"/>
    <x v="0"/>
  </r>
  <r>
    <n v="9"/>
    <x v="1"/>
    <s v="Wednesday"/>
    <d v="2025-02-26T00:00:00"/>
    <x v="20"/>
    <x v="467"/>
    <x v="3"/>
    <x v="2"/>
  </r>
  <r>
    <n v="9"/>
    <x v="1"/>
    <s v="Wednesday"/>
    <d v="2025-02-26T00:00:00"/>
    <x v="21"/>
    <x v="709"/>
    <x v="1"/>
    <x v="2"/>
  </r>
  <r>
    <n v="9"/>
    <x v="1"/>
    <s v="Wednesday"/>
    <d v="2025-02-26T00:00:00"/>
    <x v="22"/>
    <x v="710"/>
    <x v="2"/>
    <x v="2"/>
  </r>
  <r>
    <n v="9"/>
    <x v="1"/>
    <s v="Wednesday"/>
    <d v="2025-02-26T00:00:00"/>
    <x v="23"/>
    <x v="711"/>
    <x v="3"/>
    <x v="1"/>
  </r>
  <r>
    <n v="9"/>
    <x v="1"/>
    <s v="Wednesday"/>
    <d v="2025-02-26T00:00:00"/>
    <x v="24"/>
    <x v="705"/>
    <x v="2"/>
    <x v="1"/>
  </r>
  <r>
    <n v="9"/>
    <x v="1"/>
    <s v="Wednesday"/>
    <d v="2025-02-26T00:00:00"/>
    <x v="25"/>
    <x v="712"/>
    <x v="2"/>
    <x v="0"/>
  </r>
  <r>
    <n v="9"/>
    <x v="1"/>
    <s v="Wednesday"/>
    <d v="2025-02-26T00:00:00"/>
    <x v="26"/>
    <x v="713"/>
    <x v="3"/>
    <x v="1"/>
  </r>
  <r>
    <n v="9"/>
    <x v="1"/>
    <s v="Wednesday"/>
    <d v="2025-02-26T00:00:00"/>
    <x v="27"/>
    <x v="714"/>
    <x v="2"/>
    <x v="0"/>
  </r>
  <r>
    <n v="9"/>
    <x v="1"/>
    <s v="Wednesday"/>
    <d v="2025-02-26T00:00:00"/>
    <x v="28"/>
    <x v="715"/>
    <x v="2"/>
    <x v="1"/>
  </r>
  <r>
    <n v="9"/>
    <x v="1"/>
    <s v="Thursday"/>
    <d v="2025-02-27T00:00:00"/>
    <x v="0"/>
    <x v="716"/>
    <x v="2"/>
    <x v="0"/>
  </r>
  <r>
    <n v="9"/>
    <x v="1"/>
    <s v="Thursday"/>
    <d v="2025-02-27T00:00:00"/>
    <x v="1"/>
    <x v="529"/>
    <x v="3"/>
    <x v="1"/>
  </r>
  <r>
    <n v="9"/>
    <x v="1"/>
    <s v="Thursday"/>
    <d v="2025-02-27T00:00:00"/>
    <x v="2"/>
    <x v="717"/>
    <x v="2"/>
    <x v="2"/>
  </r>
  <r>
    <n v="9"/>
    <x v="1"/>
    <s v="Thursday"/>
    <d v="2025-02-27T00:00:00"/>
    <x v="3"/>
    <x v="718"/>
    <x v="2"/>
    <x v="1"/>
  </r>
  <r>
    <n v="9"/>
    <x v="1"/>
    <s v="Thursday"/>
    <d v="2025-02-27T00:00:00"/>
    <x v="4"/>
    <x v="719"/>
    <x v="4"/>
    <x v="0"/>
  </r>
  <r>
    <n v="9"/>
    <x v="1"/>
    <s v="Thursday"/>
    <d v="2025-02-27T00:00:00"/>
    <x v="5"/>
    <x v="720"/>
    <x v="3"/>
    <x v="1"/>
  </r>
  <r>
    <n v="9"/>
    <x v="1"/>
    <s v="Thursday"/>
    <d v="2025-02-27T00:00:00"/>
    <x v="6"/>
    <x v="711"/>
    <x v="2"/>
    <x v="1"/>
  </r>
  <r>
    <n v="9"/>
    <x v="1"/>
    <s v="Thursday"/>
    <d v="2025-02-27T00:00:00"/>
    <x v="7"/>
    <x v="721"/>
    <x v="2"/>
    <x v="1"/>
  </r>
  <r>
    <n v="9"/>
    <x v="1"/>
    <s v="Thursday"/>
    <d v="2025-02-27T00:00:00"/>
    <x v="8"/>
    <x v="722"/>
    <x v="0"/>
    <x v="0"/>
  </r>
  <r>
    <n v="9"/>
    <x v="1"/>
    <s v="Thursday"/>
    <d v="2025-02-27T00:00:00"/>
    <x v="9"/>
    <x v="723"/>
    <x v="3"/>
    <x v="1"/>
  </r>
  <r>
    <n v="9"/>
    <x v="1"/>
    <s v="Thursday"/>
    <d v="2025-02-27T00:00:00"/>
    <x v="10"/>
    <x v="724"/>
    <x v="2"/>
    <x v="1"/>
  </r>
  <r>
    <n v="9"/>
    <x v="1"/>
    <s v="Thursday"/>
    <d v="2025-02-27T00:00:00"/>
    <x v="11"/>
    <x v="725"/>
    <x v="3"/>
    <x v="1"/>
  </r>
  <r>
    <n v="9"/>
    <x v="1"/>
    <s v="Thursday"/>
    <d v="2025-02-27T00:00:00"/>
    <x v="12"/>
    <x v="726"/>
    <x v="3"/>
    <x v="1"/>
  </r>
  <r>
    <n v="9"/>
    <x v="1"/>
    <s v="Thursday"/>
    <d v="2025-02-27T00:00:00"/>
    <x v="13"/>
    <x v="727"/>
    <x v="2"/>
    <x v="0"/>
  </r>
  <r>
    <n v="9"/>
    <x v="1"/>
    <s v="Thursday"/>
    <d v="2025-02-27T00:00:00"/>
    <x v="14"/>
    <x v="728"/>
    <x v="2"/>
    <x v="1"/>
  </r>
  <r>
    <n v="9"/>
    <x v="1"/>
    <s v="Thursday"/>
    <d v="2025-02-27T00:00:00"/>
    <x v="15"/>
    <x v="729"/>
    <x v="1"/>
    <x v="0"/>
  </r>
  <r>
    <n v="9"/>
    <x v="1"/>
    <s v="Thursday"/>
    <d v="2025-02-27T00:00:00"/>
    <x v="16"/>
    <x v="730"/>
    <x v="2"/>
    <x v="1"/>
  </r>
  <r>
    <n v="9"/>
    <x v="1"/>
    <s v="Thursday"/>
    <d v="2025-02-27T00:00:00"/>
    <x v="17"/>
    <x v="731"/>
    <x v="3"/>
    <x v="1"/>
  </r>
  <r>
    <n v="9"/>
    <x v="1"/>
    <s v="Thursday"/>
    <d v="2025-02-27T00:00:00"/>
    <x v="18"/>
    <x v="732"/>
    <x v="2"/>
    <x v="2"/>
  </r>
  <r>
    <n v="9"/>
    <x v="1"/>
    <s v="Thursday"/>
    <d v="2025-02-27T00:00:00"/>
    <x v="19"/>
    <x v="733"/>
    <x v="3"/>
    <x v="1"/>
  </r>
  <r>
    <n v="9"/>
    <x v="1"/>
    <s v="Thursday"/>
    <d v="2025-02-27T00:00:00"/>
    <x v="20"/>
    <x v="734"/>
    <x v="2"/>
    <x v="1"/>
  </r>
  <r>
    <n v="9"/>
    <x v="1"/>
    <s v="Thursday"/>
    <d v="2025-02-27T00:00:00"/>
    <x v="21"/>
    <x v="705"/>
    <x v="0"/>
    <x v="1"/>
  </r>
  <r>
    <n v="9"/>
    <x v="1"/>
    <s v="Thursday"/>
    <d v="2025-02-27T00:00:00"/>
    <x v="22"/>
    <x v="727"/>
    <x v="2"/>
    <x v="0"/>
  </r>
  <r>
    <n v="9"/>
    <x v="1"/>
    <s v="Thursday"/>
    <d v="2025-02-27T00:00:00"/>
    <x v="23"/>
    <x v="735"/>
    <x v="4"/>
    <x v="1"/>
  </r>
  <r>
    <n v="9"/>
    <x v="1"/>
    <s v="Thursday"/>
    <d v="2025-02-27T00:00:00"/>
    <x v="24"/>
    <x v="736"/>
    <x v="2"/>
    <x v="1"/>
  </r>
  <r>
    <n v="9"/>
    <x v="1"/>
    <s v="Thursday"/>
    <d v="2025-02-27T00:00:00"/>
    <x v="25"/>
    <x v="737"/>
    <x v="2"/>
    <x v="1"/>
  </r>
  <r>
    <n v="9"/>
    <x v="1"/>
    <s v="Thursday"/>
    <d v="2025-02-27T00:00:00"/>
    <x v="26"/>
    <x v="738"/>
    <x v="2"/>
    <x v="0"/>
  </r>
  <r>
    <n v="9"/>
    <x v="1"/>
    <s v="Thursday"/>
    <d v="2025-02-27T00:00:00"/>
    <x v="27"/>
    <x v="739"/>
    <x v="0"/>
    <x v="0"/>
  </r>
  <r>
    <n v="9"/>
    <x v="1"/>
    <s v="Thursday"/>
    <d v="2025-02-27T00:00:00"/>
    <x v="28"/>
    <x v="740"/>
    <x v="3"/>
    <x v="1"/>
  </r>
  <r>
    <n v="9"/>
    <x v="1"/>
    <s v="Friday"/>
    <d v="2025-02-28T00:00:00"/>
    <x v="0"/>
    <x v="741"/>
    <x v="2"/>
    <x v="0"/>
  </r>
  <r>
    <n v="9"/>
    <x v="1"/>
    <s v="Friday"/>
    <d v="2025-02-28T00:00:00"/>
    <x v="1"/>
    <x v="742"/>
    <x v="2"/>
    <x v="1"/>
  </r>
  <r>
    <n v="9"/>
    <x v="1"/>
    <s v="Friday"/>
    <d v="2025-02-28T00:00:00"/>
    <x v="2"/>
    <x v="743"/>
    <x v="3"/>
    <x v="2"/>
  </r>
  <r>
    <n v="9"/>
    <x v="1"/>
    <s v="Friday"/>
    <d v="2025-02-28T00:00:00"/>
    <x v="3"/>
    <x v="744"/>
    <x v="3"/>
    <x v="1"/>
  </r>
  <r>
    <n v="9"/>
    <x v="1"/>
    <s v="Friday"/>
    <d v="2025-02-28T00:00:00"/>
    <x v="4"/>
    <x v="745"/>
    <x v="2"/>
    <x v="1"/>
  </r>
  <r>
    <n v="9"/>
    <x v="1"/>
    <s v="Friday"/>
    <d v="2025-02-28T00:00:00"/>
    <x v="5"/>
    <x v="746"/>
    <x v="0"/>
    <x v="2"/>
  </r>
  <r>
    <n v="9"/>
    <x v="1"/>
    <s v="Friday"/>
    <d v="2025-02-28T00:00:00"/>
    <x v="6"/>
    <x v="747"/>
    <x v="4"/>
    <x v="1"/>
  </r>
  <r>
    <n v="9"/>
    <x v="1"/>
    <s v="Friday"/>
    <d v="2025-02-28T00:00:00"/>
    <x v="7"/>
    <x v="748"/>
    <x v="2"/>
    <x v="1"/>
  </r>
  <r>
    <n v="9"/>
    <x v="1"/>
    <s v="Friday"/>
    <d v="2025-02-28T00:00:00"/>
    <x v="8"/>
    <x v="749"/>
    <x v="2"/>
    <x v="0"/>
  </r>
  <r>
    <n v="9"/>
    <x v="1"/>
    <s v="Friday"/>
    <d v="2025-02-28T00:00:00"/>
    <x v="9"/>
    <x v="750"/>
    <x v="2"/>
    <x v="0"/>
  </r>
  <r>
    <n v="9"/>
    <x v="1"/>
    <s v="Friday"/>
    <d v="2025-02-28T00:00:00"/>
    <x v="10"/>
    <x v="751"/>
    <x v="2"/>
    <x v="1"/>
  </r>
  <r>
    <n v="9"/>
    <x v="1"/>
    <s v="Friday"/>
    <d v="2025-02-28T00:00:00"/>
    <x v="11"/>
    <x v="752"/>
    <x v="2"/>
    <x v="0"/>
  </r>
  <r>
    <n v="9"/>
    <x v="1"/>
    <s v="Friday"/>
    <d v="2025-02-28T00:00:00"/>
    <x v="12"/>
    <x v="753"/>
    <x v="2"/>
    <x v="1"/>
  </r>
  <r>
    <n v="9"/>
    <x v="1"/>
    <s v="Friday"/>
    <d v="2025-02-28T00:00:00"/>
    <x v="13"/>
    <x v="754"/>
    <x v="0"/>
    <x v="1"/>
  </r>
  <r>
    <n v="9"/>
    <x v="1"/>
    <s v="Friday"/>
    <d v="2025-02-28T00:00:00"/>
    <x v="14"/>
    <x v="755"/>
    <x v="3"/>
    <x v="1"/>
  </r>
  <r>
    <n v="9"/>
    <x v="1"/>
    <s v="Friday"/>
    <d v="2025-02-28T00:00:00"/>
    <x v="15"/>
    <x v="756"/>
    <x v="2"/>
    <x v="1"/>
  </r>
  <r>
    <n v="9"/>
    <x v="1"/>
    <s v="Friday"/>
    <d v="2025-02-28T00:00:00"/>
    <x v="16"/>
    <x v="757"/>
    <x v="2"/>
    <x v="1"/>
  </r>
  <r>
    <n v="9"/>
    <x v="1"/>
    <s v="Friday"/>
    <d v="2025-02-28T00:00:00"/>
    <x v="17"/>
    <x v="758"/>
    <x v="1"/>
    <x v="0"/>
  </r>
  <r>
    <n v="9"/>
    <x v="1"/>
    <s v="Friday"/>
    <d v="2025-02-28T00:00:00"/>
    <x v="18"/>
    <x v="759"/>
    <x v="2"/>
    <x v="1"/>
  </r>
  <r>
    <n v="9"/>
    <x v="1"/>
    <s v="Friday"/>
    <d v="2025-02-28T00:00:00"/>
    <x v="19"/>
    <x v="760"/>
    <x v="2"/>
    <x v="0"/>
  </r>
  <r>
    <n v="9"/>
    <x v="1"/>
    <s v="Friday"/>
    <d v="2025-02-28T00:00:00"/>
    <x v="0"/>
    <x v="761"/>
    <x v="3"/>
    <x v="1"/>
  </r>
  <r>
    <n v="9"/>
    <x v="1"/>
    <s v="Friday"/>
    <d v="2025-02-28T00:00:00"/>
    <x v="1"/>
    <x v="762"/>
    <x v="1"/>
    <x v="1"/>
  </r>
  <r>
    <n v="9"/>
    <x v="1"/>
    <s v="Friday"/>
    <d v="2025-02-28T00:00:00"/>
    <x v="2"/>
    <x v="763"/>
    <x v="2"/>
    <x v="2"/>
  </r>
  <r>
    <n v="9"/>
    <x v="1"/>
    <s v="Friday"/>
    <d v="2025-02-28T00:00:00"/>
    <x v="3"/>
    <x v="764"/>
    <x v="2"/>
    <x v="1"/>
  </r>
  <r>
    <n v="9"/>
    <x v="1"/>
    <s v="Friday"/>
    <d v="2025-02-28T00:00:00"/>
    <x v="4"/>
    <x v="765"/>
    <x v="3"/>
    <x v="1"/>
  </r>
  <r>
    <n v="9"/>
    <x v="1"/>
    <s v="Friday"/>
    <d v="2025-02-28T00:00:00"/>
    <x v="5"/>
    <x v="710"/>
    <x v="3"/>
    <x v="2"/>
  </r>
  <r>
    <n v="9"/>
    <x v="1"/>
    <s v="Friday"/>
    <d v="2025-02-28T00:00:00"/>
    <x v="6"/>
    <x v="766"/>
    <x v="2"/>
    <x v="1"/>
  </r>
  <r>
    <n v="9"/>
    <x v="1"/>
    <s v="Friday"/>
    <d v="2025-02-28T00:00:00"/>
    <x v="7"/>
    <x v="767"/>
    <x v="2"/>
    <x v="0"/>
  </r>
  <r>
    <n v="9"/>
    <x v="1"/>
    <s v="Friday"/>
    <d v="2025-02-28T00:00:00"/>
    <x v="8"/>
    <x v="768"/>
    <x v="3"/>
    <x v="0"/>
  </r>
  <r>
    <n v="9"/>
    <x v="1"/>
    <s v="Friday"/>
    <d v="2025-02-28T00:00:00"/>
    <x v="9"/>
    <x v="573"/>
    <x v="3"/>
    <x v="1"/>
  </r>
  <r>
    <n v="9"/>
    <x v="1"/>
    <s v="Friday"/>
    <d v="2025-02-28T00:00:00"/>
    <x v="10"/>
    <x v="769"/>
    <x v="0"/>
    <x v="1"/>
  </r>
  <r>
    <n v="9"/>
    <x v="1"/>
    <s v="Friday"/>
    <d v="2025-02-28T00:00:00"/>
    <x v="11"/>
    <x v="770"/>
    <x v="2"/>
    <x v="0"/>
  </r>
  <r>
    <n v="25"/>
    <x v="4"/>
    <s v="Sunday"/>
    <d v="2025-06-15T00:00:00"/>
    <x v="0"/>
    <x v="771"/>
    <x v="2"/>
    <x v="1"/>
  </r>
  <r>
    <n v="25"/>
    <x v="4"/>
    <s v="Sunday"/>
    <d v="2025-06-15T00:00:00"/>
    <x v="1"/>
    <x v="772"/>
    <x v="2"/>
    <x v="0"/>
  </r>
  <r>
    <n v="25"/>
    <x v="4"/>
    <s v="Sunday"/>
    <d v="2025-06-15T00:00:00"/>
    <x v="2"/>
    <x v="773"/>
    <x v="3"/>
    <x v="1"/>
  </r>
  <r>
    <n v="25"/>
    <x v="4"/>
    <s v="Sunday"/>
    <d v="2025-06-15T00:00:00"/>
    <x v="3"/>
    <x v="774"/>
    <x v="2"/>
    <x v="1"/>
  </r>
  <r>
    <n v="25"/>
    <x v="4"/>
    <s v="Sunday"/>
    <d v="2025-06-15T00:00:00"/>
    <x v="4"/>
    <x v="775"/>
    <x v="2"/>
    <x v="0"/>
  </r>
  <r>
    <n v="25"/>
    <x v="4"/>
    <s v="Sunday"/>
    <d v="2025-06-15T00:00:00"/>
    <x v="5"/>
    <x v="776"/>
    <x v="0"/>
    <x v="2"/>
  </r>
  <r>
    <n v="25"/>
    <x v="4"/>
    <s v="Sunday"/>
    <d v="2025-06-15T00:00:00"/>
    <x v="6"/>
    <x v="775"/>
    <x v="2"/>
    <x v="0"/>
  </r>
  <r>
    <n v="25"/>
    <x v="4"/>
    <s v="Sunday"/>
    <d v="2025-06-15T00:00:00"/>
    <x v="7"/>
    <x v="775"/>
    <x v="2"/>
    <x v="0"/>
  </r>
  <r>
    <n v="25"/>
    <x v="4"/>
    <s v="Sunday"/>
    <d v="2025-06-15T00:00:00"/>
    <x v="8"/>
    <x v="775"/>
    <x v="2"/>
    <x v="0"/>
  </r>
  <r>
    <n v="25"/>
    <x v="4"/>
    <s v="Sunday"/>
    <d v="2025-06-15T00:00:00"/>
    <x v="9"/>
    <x v="777"/>
    <x v="3"/>
    <x v="1"/>
  </r>
  <r>
    <n v="25"/>
    <x v="4"/>
    <s v="Sunday"/>
    <d v="2025-06-15T00:00:00"/>
    <x v="10"/>
    <x v="778"/>
    <x v="3"/>
    <x v="1"/>
  </r>
  <r>
    <n v="25"/>
    <x v="4"/>
    <s v="Sunday"/>
    <d v="2025-06-15T00:00:00"/>
    <x v="11"/>
    <x v="779"/>
    <x v="3"/>
    <x v="0"/>
  </r>
  <r>
    <n v="25"/>
    <x v="4"/>
    <s v="Sunday"/>
    <d v="2025-06-15T00:00:00"/>
    <x v="12"/>
    <x v="780"/>
    <x v="2"/>
    <x v="1"/>
  </r>
  <r>
    <n v="25"/>
    <x v="4"/>
    <s v="Sunday"/>
    <d v="2025-06-15T00:00:00"/>
    <x v="13"/>
    <x v="781"/>
    <x v="2"/>
    <x v="1"/>
  </r>
  <r>
    <n v="25"/>
    <x v="4"/>
    <s v="Sunday"/>
    <d v="2025-06-15T00:00:00"/>
    <x v="14"/>
    <x v="782"/>
    <x v="2"/>
    <x v="0"/>
  </r>
  <r>
    <n v="25"/>
    <x v="4"/>
    <s v="Monday"/>
    <d v="2025-06-16T00:00:00"/>
    <x v="0"/>
    <x v="783"/>
    <x v="2"/>
    <x v="1"/>
  </r>
  <r>
    <n v="25"/>
    <x v="4"/>
    <s v="Monday"/>
    <d v="2025-06-16T00:00:00"/>
    <x v="1"/>
    <x v="784"/>
    <x v="1"/>
    <x v="1"/>
  </r>
  <r>
    <n v="25"/>
    <x v="4"/>
    <s v="Monday"/>
    <d v="2025-06-16T00:00:00"/>
    <x v="2"/>
    <x v="785"/>
    <x v="2"/>
    <x v="2"/>
  </r>
  <r>
    <n v="25"/>
    <x v="4"/>
    <s v="Monday"/>
    <d v="2025-06-16T00:00:00"/>
    <x v="3"/>
    <x v="786"/>
    <x v="2"/>
    <x v="1"/>
  </r>
  <r>
    <n v="25"/>
    <x v="4"/>
    <s v="Monday"/>
    <d v="2025-06-16T00:00:00"/>
    <x v="4"/>
    <x v="787"/>
    <x v="2"/>
    <x v="1"/>
  </r>
  <r>
    <n v="25"/>
    <x v="4"/>
    <s v="Monday"/>
    <d v="2025-06-16T00:00:00"/>
    <x v="5"/>
    <x v="788"/>
    <x v="1"/>
    <x v="1"/>
  </r>
  <r>
    <n v="25"/>
    <x v="4"/>
    <s v="Monday"/>
    <d v="2025-06-16T00:00:00"/>
    <x v="6"/>
    <x v="789"/>
    <x v="2"/>
    <x v="2"/>
  </r>
  <r>
    <n v="25"/>
    <x v="4"/>
    <s v="Monday"/>
    <d v="2025-06-16T00:00:00"/>
    <x v="7"/>
    <x v="790"/>
    <x v="3"/>
    <x v="1"/>
  </r>
  <r>
    <n v="25"/>
    <x v="4"/>
    <s v="Monday"/>
    <d v="2025-06-16T00:00:00"/>
    <x v="8"/>
    <x v="791"/>
    <x v="3"/>
    <x v="1"/>
  </r>
  <r>
    <n v="25"/>
    <x v="4"/>
    <s v="Monday"/>
    <d v="2025-06-16T00:00:00"/>
    <x v="9"/>
    <x v="792"/>
    <x v="2"/>
    <x v="2"/>
  </r>
  <r>
    <n v="25"/>
    <x v="4"/>
    <s v="Monday"/>
    <d v="2025-06-16T00:00:00"/>
    <x v="10"/>
    <x v="793"/>
    <x v="3"/>
    <x v="1"/>
  </r>
  <r>
    <n v="25"/>
    <x v="4"/>
    <s v="Monday"/>
    <d v="2025-06-16T00:00:00"/>
    <x v="11"/>
    <x v="794"/>
    <x v="2"/>
    <x v="0"/>
  </r>
  <r>
    <n v="25"/>
    <x v="4"/>
    <s v="Monday"/>
    <d v="2025-06-16T00:00:00"/>
    <x v="12"/>
    <x v="795"/>
    <x v="2"/>
    <x v="1"/>
  </r>
  <r>
    <n v="25"/>
    <x v="4"/>
    <s v="Monday"/>
    <d v="2025-06-16T00:00:00"/>
    <x v="13"/>
    <x v="796"/>
    <x v="3"/>
    <x v="1"/>
  </r>
  <r>
    <n v="25"/>
    <x v="4"/>
    <s v="Monday"/>
    <d v="2025-06-16T00:00:00"/>
    <x v="14"/>
    <x v="797"/>
    <x v="2"/>
    <x v="0"/>
  </r>
  <r>
    <n v="25"/>
    <x v="4"/>
    <s v="Monday"/>
    <d v="2025-06-16T00:00:00"/>
    <x v="15"/>
    <x v="798"/>
    <x v="2"/>
    <x v="2"/>
  </r>
  <r>
    <n v="25"/>
    <x v="4"/>
    <s v="Monday"/>
    <d v="2025-06-16T00:00:00"/>
    <x v="16"/>
    <x v="793"/>
    <x v="2"/>
    <x v="1"/>
  </r>
  <r>
    <n v="25"/>
    <x v="4"/>
    <s v="Monday"/>
    <d v="2025-06-16T00:00:00"/>
    <x v="17"/>
    <x v="799"/>
    <x v="2"/>
    <x v="0"/>
  </r>
  <r>
    <n v="25"/>
    <x v="4"/>
    <s v="Monday"/>
    <d v="2025-06-16T00:00:00"/>
    <x v="18"/>
    <x v="800"/>
    <x v="4"/>
    <x v="1"/>
  </r>
  <r>
    <n v="25"/>
    <x v="4"/>
    <s v="Monday"/>
    <d v="2025-06-16T00:00:00"/>
    <x v="19"/>
    <x v="801"/>
    <x v="1"/>
    <x v="0"/>
  </r>
  <r>
    <n v="25"/>
    <x v="4"/>
    <s v="Monday"/>
    <d v="2025-06-16T00:00:00"/>
    <x v="20"/>
    <x v="802"/>
    <x v="2"/>
    <x v="1"/>
  </r>
  <r>
    <n v="25"/>
    <x v="4"/>
    <s v="Monday"/>
    <d v="2025-06-16T00:00:00"/>
    <x v="21"/>
    <x v="803"/>
    <x v="2"/>
    <x v="0"/>
  </r>
  <r>
    <n v="25"/>
    <x v="4"/>
    <s v="Monday"/>
    <d v="2025-06-16T00:00:00"/>
    <x v="22"/>
    <x v="804"/>
    <x v="2"/>
    <x v="1"/>
  </r>
  <r>
    <n v="25"/>
    <x v="4"/>
    <s v="Monday"/>
    <d v="2025-06-16T00:00:00"/>
    <x v="23"/>
    <x v="805"/>
    <x v="2"/>
    <x v="1"/>
  </r>
  <r>
    <n v="25"/>
    <x v="4"/>
    <s v="Monday"/>
    <d v="2025-06-16T00:00:00"/>
    <x v="24"/>
    <x v="806"/>
    <x v="2"/>
    <x v="1"/>
  </r>
  <r>
    <n v="25"/>
    <x v="4"/>
    <s v="Monday"/>
    <d v="2025-06-16T00:00:00"/>
    <x v="25"/>
    <x v="807"/>
    <x v="0"/>
    <x v="0"/>
  </r>
  <r>
    <n v="25"/>
    <x v="4"/>
    <s v="Monday"/>
    <d v="2025-06-16T00:00:00"/>
    <x v="26"/>
    <x v="808"/>
    <x v="0"/>
    <x v="0"/>
  </r>
  <r>
    <n v="25"/>
    <x v="4"/>
    <s v="Tuesday"/>
    <d v="2025-06-17T00:00:00"/>
    <x v="0"/>
    <x v="809"/>
    <x v="0"/>
    <x v="0"/>
  </r>
  <r>
    <n v="25"/>
    <x v="4"/>
    <s v="Tuesday"/>
    <d v="2025-06-17T00:00:00"/>
    <x v="1"/>
    <x v="810"/>
    <x v="3"/>
    <x v="1"/>
  </r>
  <r>
    <n v="25"/>
    <x v="4"/>
    <s v="Tuesday"/>
    <d v="2025-06-17T00:00:00"/>
    <x v="2"/>
    <x v="811"/>
    <x v="2"/>
    <x v="1"/>
  </r>
  <r>
    <n v="25"/>
    <x v="4"/>
    <s v="Tuesday"/>
    <d v="2025-06-17T00:00:00"/>
    <x v="3"/>
    <x v="810"/>
    <x v="2"/>
    <x v="1"/>
  </r>
  <r>
    <n v="25"/>
    <x v="4"/>
    <s v="Tuesday"/>
    <d v="2025-06-17T00:00:00"/>
    <x v="4"/>
    <x v="812"/>
    <x v="2"/>
    <x v="1"/>
  </r>
  <r>
    <n v="25"/>
    <x v="4"/>
    <s v="Tuesday"/>
    <d v="2025-06-17T00:00:00"/>
    <x v="5"/>
    <x v="813"/>
    <x v="2"/>
    <x v="1"/>
  </r>
  <r>
    <n v="25"/>
    <x v="4"/>
    <s v="Tuesday"/>
    <d v="2025-06-17T00:00:00"/>
    <x v="6"/>
    <x v="814"/>
    <x v="3"/>
    <x v="1"/>
  </r>
  <r>
    <n v="25"/>
    <x v="4"/>
    <s v="Tuesday"/>
    <d v="2025-06-17T00:00:00"/>
    <x v="7"/>
    <x v="815"/>
    <x v="2"/>
    <x v="0"/>
  </r>
  <r>
    <n v="25"/>
    <x v="4"/>
    <s v="Tuesday"/>
    <d v="2025-06-17T00:00:00"/>
    <x v="8"/>
    <x v="816"/>
    <x v="3"/>
    <x v="1"/>
  </r>
  <r>
    <n v="25"/>
    <x v="4"/>
    <s v="Tuesday"/>
    <d v="2025-06-17T00:00:00"/>
    <x v="9"/>
    <x v="790"/>
    <x v="2"/>
    <x v="1"/>
  </r>
  <r>
    <n v="25"/>
    <x v="4"/>
    <s v="Tuesday"/>
    <d v="2025-06-17T00:00:00"/>
    <x v="10"/>
    <x v="817"/>
    <x v="2"/>
    <x v="1"/>
  </r>
  <r>
    <n v="25"/>
    <x v="4"/>
    <s v="Tuesday"/>
    <d v="2025-06-17T00:00:00"/>
    <x v="11"/>
    <x v="818"/>
    <x v="4"/>
    <x v="1"/>
  </r>
  <r>
    <n v="25"/>
    <x v="4"/>
    <s v="Tuesday"/>
    <d v="2025-06-17T00:00:00"/>
    <x v="12"/>
    <x v="819"/>
    <x v="2"/>
    <x v="0"/>
  </r>
  <r>
    <n v="25"/>
    <x v="4"/>
    <s v="Tuesday"/>
    <d v="2025-06-17T00:00:00"/>
    <x v="13"/>
    <x v="812"/>
    <x v="2"/>
    <x v="1"/>
  </r>
  <r>
    <n v="25"/>
    <x v="4"/>
    <s v="Tuesday"/>
    <d v="2025-06-17T00:00:00"/>
    <x v="14"/>
    <x v="820"/>
    <x v="2"/>
    <x v="1"/>
  </r>
  <r>
    <n v="25"/>
    <x v="4"/>
    <s v="Tuesday"/>
    <d v="2025-06-17T00:00:00"/>
    <x v="15"/>
    <x v="821"/>
    <x v="2"/>
    <x v="0"/>
  </r>
  <r>
    <n v="25"/>
    <x v="4"/>
    <s v="Tuesday"/>
    <d v="2025-06-17T00:00:00"/>
    <x v="16"/>
    <x v="822"/>
    <x v="2"/>
    <x v="0"/>
  </r>
  <r>
    <n v="25"/>
    <x v="4"/>
    <s v="Tuesday"/>
    <d v="2025-06-17T00:00:00"/>
    <x v="17"/>
    <x v="823"/>
    <x v="0"/>
    <x v="0"/>
  </r>
  <r>
    <n v="25"/>
    <x v="4"/>
    <s v="Tuesday"/>
    <d v="2025-06-17T00:00:00"/>
    <x v="18"/>
    <x v="812"/>
    <x v="2"/>
    <x v="1"/>
  </r>
  <r>
    <n v="25"/>
    <x v="4"/>
    <s v="Tuesday"/>
    <d v="2025-06-17T00:00:00"/>
    <x v="19"/>
    <x v="824"/>
    <x v="0"/>
    <x v="0"/>
  </r>
  <r>
    <n v="25"/>
    <x v="4"/>
    <s v="Tuesday"/>
    <d v="2025-06-17T00:00:00"/>
    <x v="20"/>
    <x v="825"/>
    <x v="1"/>
    <x v="2"/>
  </r>
  <r>
    <n v="25"/>
    <x v="4"/>
    <s v="Tuesday"/>
    <d v="2025-06-17T00:00:00"/>
    <x v="21"/>
    <x v="826"/>
    <x v="0"/>
    <x v="1"/>
  </r>
  <r>
    <n v="25"/>
    <x v="4"/>
    <s v="Tuesday"/>
    <d v="2025-06-17T00:00:00"/>
    <x v="22"/>
    <x v="827"/>
    <x v="2"/>
    <x v="2"/>
  </r>
  <r>
    <n v="25"/>
    <x v="4"/>
    <s v="Tuesday"/>
    <d v="2025-06-17T00:00:00"/>
    <x v="23"/>
    <x v="828"/>
    <x v="2"/>
    <x v="1"/>
  </r>
  <r>
    <n v="25"/>
    <x v="4"/>
    <s v="Tuesday"/>
    <d v="2025-06-17T00:00:00"/>
    <x v="24"/>
    <x v="829"/>
    <x v="2"/>
    <x v="0"/>
  </r>
  <r>
    <n v="25"/>
    <x v="4"/>
    <s v="Wednesday"/>
    <d v="2025-06-18T00:00:00"/>
    <x v="0"/>
    <x v="830"/>
    <x v="2"/>
    <x v="1"/>
  </r>
  <r>
    <n v="25"/>
    <x v="4"/>
    <s v="Wednesday"/>
    <d v="2025-06-18T00:00:00"/>
    <x v="1"/>
    <x v="831"/>
    <x v="2"/>
    <x v="1"/>
  </r>
  <r>
    <n v="25"/>
    <x v="4"/>
    <s v="Wednesday"/>
    <d v="2025-06-18T00:00:00"/>
    <x v="2"/>
    <x v="832"/>
    <x v="2"/>
    <x v="0"/>
  </r>
  <r>
    <n v="25"/>
    <x v="4"/>
    <s v="Wednesday"/>
    <d v="2025-06-18T00:00:00"/>
    <x v="3"/>
    <x v="833"/>
    <x v="1"/>
    <x v="1"/>
  </r>
  <r>
    <n v="25"/>
    <x v="4"/>
    <s v="Wednesday"/>
    <d v="2025-06-18T00:00:00"/>
    <x v="4"/>
    <x v="834"/>
    <x v="1"/>
    <x v="0"/>
  </r>
  <r>
    <n v="25"/>
    <x v="4"/>
    <s v="Wednesday"/>
    <d v="2025-06-18T00:00:00"/>
    <x v="5"/>
    <x v="835"/>
    <x v="4"/>
    <x v="1"/>
  </r>
  <r>
    <n v="25"/>
    <x v="4"/>
    <s v="Wednesday"/>
    <d v="2025-06-18T00:00:00"/>
    <x v="6"/>
    <x v="836"/>
    <x v="0"/>
    <x v="0"/>
  </r>
  <r>
    <n v="25"/>
    <x v="4"/>
    <s v="Wednesday"/>
    <d v="2025-06-18T00:00:00"/>
    <x v="7"/>
    <x v="837"/>
    <x v="3"/>
    <x v="1"/>
  </r>
  <r>
    <n v="25"/>
    <x v="4"/>
    <s v="Wednesday"/>
    <d v="2025-06-18T00:00:00"/>
    <x v="8"/>
    <x v="838"/>
    <x v="2"/>
    <x v="0"/>
  </r>
  <r>
    <n v="25"/>
    <x v="4"/>
    <s v="Wednesday"/>
    <d v="2025-06-18T00:00:00"/>
    <x v="9"/>
    <x v="839"/>
    <x v="2"/>
    <x v="1"/>
  </r>
  <r>
    <n v="25"/>
    <x v="4"/>
    <s v="Wednesday"/>
    <d v="2025-06-18T00:00:00"/>
    <x v="10"/>
    <x v="840"/>
    <x v="2"/>
    <x v="1"/>
  </r>
  <r>
    <n v="25"/>
    <x v="4"/>
    <s v="Wednesday"/>
    <d v="2025-06-18T00:00:00"/>
    <x v="11"/>
    <x v="841"/>
    <x v="2"/>
    <x v="1"/>
  </r>
  <r>
    <n v="25"/>
    <x v="4"/>
    <s v="Wednesday"/>
    <d v="2025-06-18T00:00:00"/>
    <x v="12"/>
    <x v="842"/>
    <x v="2"/>
    <x v="0"/>
  </r>
  <r>
    <n v="25"/>
    <x v="4"/>
    <s v="Wednesday"/>
    <d v="2025-06-18T00:00:00"/>
    <x v="13"/>
    <x v="843"/>
    <x v="3"/>
    <x v="1"/>
  </r>
  <r>
    <n v="25"/>
    <x v="4"/>
    <s v="Wednesday"/>
    <d v="2025-06-18T00:00:00"/>
    <x v="14"/>
    <x v="844"/>
    <x v="2"/>
    <x v="2"/>
  </r>
  <r>
    <n v="25"/>
    <x v="4"/>
    <s v="Wednesday"/>
    <d v="2025-06-18T00:00:00"/>
    <x v="15"/>
    <x v="803"/>
    <x v="2"/>
    <x v="0"/>
  </r>
  <r>
    <n v="25"/>
    <x v="4"/>
    <s v="Wednesday"/>
    <d v="2025-06-18T00:00:00"/>
    <x v="16"/>
    <x v="845"/>
    <x v="2"/>
    <x v="2"/>
  </r>
  <r>
    <n v="25"/>
    <x v="4"/>
    <s v="Wednesday"/>
    <d v="2025-06-18T00:00:00"/>
    <x v="17"/>
    <x v="846"/>
    <x v="0"/>
    <x v="2"/>
  </r>
  <r>
    <n v="25"/>
    <x v="4"/>
    <s v="Wednesday"/>
    <d v="2025-06-18T00:00:00"/>
    <x v="18"/>
    <x v="847"/>
    <x v="2"/>
    <x v="1"/>
  </r>
  <r>
    <n v="25"/>
    <x v="4"/>
    <s v="Wednesday"/>
    <d v="2025-06-18T00:00:00"/>
    <x v="19"/>
    <x v="848"/>
    <x v="3"/>
    <x v="1"/>
  </r>
  <r>
    <n v="25"/>
    <x v="4"/>
    <s v="Wednesday"/>
    <d v="2025-06-18T00:00:00"/>
    <x v="20"/>
    <x v="849"/>
    <x v="2"/>
    <x v="1"/>
  </r>
  <r>
    <n v="25"/>
    <x v="4"/>
    <s v="Wednesday"/>
    <d v="2025-06-18T00:00:00"/>
    <x v="21"/>
    <x v="850"/>
    <x v="1"/>
    <x v="1"/>
  </r>
  <r>
    <n v="25"/>
    <x v="4"/>
    <s v="Wednesday"/>
    <d v="2025-06-18T00:00:00"/>
    <x v="22"/>
    <x v="851"/>
    <x v="2"/>
    <x v="1"/>
  </r>
  <r>
    <n v="25"/>
    <x v="4"/>
    <s v="Wednesday"/>
    <d v="2025-06-18T00:00:00"/>
    <x v="23"/>
    <x v="852"/>
    <x v="1"/>
    <x v="1"/>
  </r>
  <r>
    <n v="25"/>
    <x v="4"/>
    <s v="Thursday"/>
    <d v="2025-06-19T00:00:00"/>
    <x v="0"/>
    <x v="853"/>
    <x v="1"/>
    <x v="1"/>
  </r>
  <r>
    <n v="25"/>
    <x v="4"/>
    <s v="Thursday"/>
    <d v="2025-06-19T00:00:00"/>
    <x v="1"/>
    <x v="854"/>
    <x v="2"/>
    <x v="2"/>
  </r>
  <r>
    <n v="25"/>
    <x v="4"/>
    <s v="Thursday"/>
    <d v="2025-06-19T00:00:00"/>
    <x v="2"/>
    <x v="855"/>
    <x v="2"/>
    <x v="0"/>
  </r>
  <r>
    <n v="25"/>
    <x v="4"/>
    <s v="Thursday"/>
    <d v="2025-06-19T00:00:00"/>
    <x v="3"/>
    <x v="856"/>
    <x v="0"/>
    <x v="0"/>
  </r>
  <r>
    <n v="25"/>
    <x v="4"/>
    <s v="Thursday"/>
    <d v="2025-06-19T00:00:00"/>
    <x v="4"/>
    <x v="857"/>
    <x v="0"/>
    <x v="2"/>
  </r>
  <r>
    <n v="25"/>
    <x v="4"/>
    <s v="Thursday"/>
    <d v="2025-06-19T00:00:00"/>
    <x v="5"/>
    <x v="858"/>
    <x v="2"/>
    <x v="2"/>
  </r>
  <r>
    <n v="25"/>
    <x v="4"/>
    <s v="Thursday"/>
    <d v="2025-06-19T00:00:00"/>
    <x v="6"/>
    <x v="859"/>
    <x v="3"/>
    <x v="1"/>
  </r>
  <r>
    <n v="25"/>
    <x v="4"/>
    <s v="Thursday"/>
    <d v="2025-06-19T00:00:00"/>
    <x v="7"/>
    <x v="860"/>
    <x v="2"/>
    <x v="1"/>
  </r>
  <r>
    <n v="25"/>
    <x v="4"/>
    <s v="Thursday"/>
    <d v="2025-06-19T00:00:00"/>
    <x v="8"/>
    <x v="861"/>
    <x v="2"/>
    <x v="1"/>
  </r>
  <r>
    <n v="25"/>
    <x v="4"/>
    <s v="Thursday"/>
    <d v="2025-06-19T00:00:00"/>
    <x v="9"/>
    <x v="862"/>
    <x v="2"/>
    <x v="1"/>
  </r>
  <r>
    <n v="25"/>
    <x v="4"/>
    <s v="Thursday"/>
    <d v="2025-06-19T00:00:00"/>
    <x v="10"/>
    <x v="863"/>
    <x v="3"/>
    <x v="1"/>
  </r>
  <r>
    <n v="25"/>
    <x v="4"/>
    <s v="Thursday"/>
    <d v="2025-06-19T00:00:00"/>
    <x v="11"/>
    <x v="864"/>
    <x v="2"/>
    <x v="0"/>
  </r>
  <r>
    <n v="25"/>
    <x v="4"/>
    <s v="Thursday"/>
    <d v="2025-06-19T00:00:00"/>
    <x v="12"/>
    <x v="865"/>
    <x v="0"/>
    <x v="2"/>
  </r>
  <r>
    <n v="25"/>
    <x v="4"/>
    <s v="Thursday"/>
    <d v="2025-06-19T00:00:00"/>
    <x v="13"/>
    <x v="866"/>
    <x v="2"/>
    <x v="0"/>
  </r>
  <r>
    <n v="25"/>
    <x v="4"/>
    <s v="Thursday"/>
    <d v="2025-06-19T00:00:00"/>
    <x v="14"/>
    <x v="867"/>
    <x v="2"/>
    <x v="0"/>
  </r>
  <r>
    <n v="25"/>
    <x v="4"/>
    <s v="Thursday"/>
    <d v="2025-06-19T00:00:00"/>
    <x v="15"/>
    <x v="868"/>
    <x v="3"/>
    <x v="1"/>
  </r>
  <r>
    <n v="25"/>
    <x v="4"/>
    <s v="Thursday"/>
    <d v="2025-06-19T00:00:00"/>
    <x v="16"/>
    <x v="837"/>
    <x v="2"/>
    <x v="1"/>
  </r>
  <r>
    <n v="25"/>
    <x v="4"/>
    <s v="Thursday"/>
    <d v="2025-06-19T00:00:00"/>
    <x v="17"/>
    <x v="852"/>
    <x v="2"/>
    <x v="1"/>
  </r>
  <r>
    <n v="25"/>
    <x v="4"/>
    <s v="Thursday"/>
    <d v="2025-06-19T00:00:00"/>
    <x v="18"/>
    <x v="829"/>
    <x v="1"/>
    <x v="0"/>
  </r>
  <r>
    <n v="25"/>
    <x v="4"/>
    <s v="Thursday"/>
    <d v="2025-06-19T00:00:00"/>
    <x v="19"/>
    <x v="843"/>
    <x v="3"/>
    <x v="1"/>
  </r>
  <r>
    <n v="25"/>
    <x v="4"/>
    <s v="Thursday"/>
    <d v="2025-06-19T00:00:00"/>
    <x v="20"/>
    <x v="869"/>
    <x v="0"/>
    <x v="2"/>
  </r>
  <r>
    <n v="25"/>
    <x v="4"/>
    <s v="Thursday"/>
    <d v="2025-06-19T00:00:00"/>
    <x v="21"/>
    <x v="870"/>
    <x v="3"/>
    <x v="2"/>
  </r>
  <r>
    <n v="25"/>
    <x v="4"/>
    <s v="Thursday"/>
    <d v="2025-06-19T00:00:00"/>
    <x v="22"/>
    <x v="871"/>
    <x v="1"/>
    <x v="0"/>
  </r>
  <r>
    <n v="25"/>
    <x v="4"/>
    <s v="Thursday"/>
    <d v="2025-06-19T00:00:00"/>
    <x v="23"/>
    <x v="870"/>
    <x v="2"/>
    <x v="2"/>
  </r>
  <r>
    <n v="25"/>
    <x v="4"/>
    <s v="Thursday"/>
    <d v="2025-06-19T00:00:00"/>
    <x v="24"/>
    <x v="872"/>
    <x v="2"/>
    <x v="1"/>
  </r>
  <r>
    <n v="26"/>
    <x v="4"/>
    <s v="Monday"/>
    <d v="2025-06-23T00:00:00"/>
    <x v="0"/>
    <x v="873"/>
    <x v="2"/>
    <x v="1"/>
  </r>
  <r>
    <n v="26"/>
    <x v="4"/>
    <s v="Monday"/>
    <d v="2025-06-23T00:00:00"/>
    <x v="1"/>
    <x v="874"/>
    <x v="3"/>
    <x v="1"/>
  </r>
  <r>
    <n v="26"/>
    <x v="4"/>
    <s v="Monday"/>
    <d v="2025-06-23T00:00:00"/>
    <x v="2"/>
    <x v="875"/>
    <x v="2"/>
    <x v="1"/>
  </r>
  <r>
    <n v="26"/>
    <x v="4"/>
    <s v="Monday"/>
    <d v="2025-06-23T00:00:00"/>
    <x v="3"/>
    <x v="876"/>
    <x v="2"/>
    <x v="0"/>
  </r>
  <r>
    <n v="26"/>
    <x v="4"/>
    <s v="Monday"/>
    <d v="2025-06-23T00:00:00"/>
    <x v="4"/>
    <x v="877"/>
    <x v="1"/>
    <x v="0"/>
  </r>
  <r>
    <n v="26"/>
    <x v="4"/>
    <s v="Monday"/>
    <d v="2025-06-23T00:00:00"/>
    <x v="5"/>
    <x v="878"/>
    <x v="0"/>
    <x v="0"/>
  </r>
  <r>
    <n v="26"/>
    <x v="4"/>
    <s v="Monday"/>
    <d v="2025-06-23T00:00:00"/>
    <x v="6"/>
    <x v="879"/>
    <x v="3"/>
    <x v="1"/>
  </r>
  <r>
    <n v="26"/>
    <x v="4"/>
    <s v="Monday"/>
    <d v="2025-06-23T00:00:00"/>
    <x v="7"/>
    <x v="880"/>
    <x v="2"/>
    <x v="2"/>
  </r>
  <r>
    <n v="26"/>
    <x v="4"/>
    <s v="Tuesday"/>
    <d v="2025-06-24T00:00:00"/>
    <x v="0"/>
    <x v="881"/>
    <x v="2"/>
    <x v="1"/>
  </r>
  <r>
    <n v="26"/>
    <x v="4"/>
    <s v="Tuesday"/>
    <d v="2025-06-24T00:00:00"/>
    <x v="1"/>
    <x v="882"/>
    <x v="0"/>
    <x v="0"/>
  </r>
  <r>
    <n v="26"/>
    <x v="4"/>
    <s v="Tuesday"/>
    <d v="2025-06-24T00:00:00"/>
    <x v="2"/>
    <x v="883"/>
    <x v="0"/>
    <x v="0"/>
  </r>
  <r>
    <n v="26"/>
    <x v="4"/>
    <s v="Tuesday"/>
    <d v="2025-06-24T00:00:00"/>
    <x v="3"/>
    <x v="884"/>
    <x v="2"/>
    <x v="2"/>
  </r>
  <r>
    <n v="26"/>
    <x v="4"/>
    <s v="Tuesday"/>
    <d v="2025-06-24T00:00:00"/>
    <x v="4"/>
    <x v="885"/>
    <x v="2"/>
    <x v="1"/>
  </r>
  <r>
    <n v="26"/>
    <x v="4"/>
    <s v="Tuesday"/>
    <d v="2025-06-24T00:00:00"/>
    <x v="5"/>
    <x v="886"/>
    <x v="3"/>
    <x v="1"/>
  </r>
  <r>
    <n v="26"/>
    <x v="4"/>
    <s v="Tuesday"/>
    <d v="2025-06-24T00:00:00"/>
    <x v="6"/>
    <x v="887"/>
    <x v="0"/>
    <x v="0"/>
  </r>
  <r>
    <n v="26"/>
    <x v="4"/>
    <s v="Tuesday"/>
    <d v="2025-06-24T00:00:00"/>
    <x v="7"/>
    <x v="888"/>
    <x v="2"/>
    <x v="1"/>
  </r>
  <r>
    <n v="26"/>
    <x v="4"/>
    <s v="Tuesday"/>
    <d v="2025-06-24T00:00:00"/>
    <x v="8"/>
    <x v="889"/>
    <x v="2"/>
    <x v="1"/>
  </r>
  <r>
    <n v="26"/>
    <x v="4"/>
    <s v="Tuesday"/>
    <d v="2025-06-24T00:00:00"/>
    <x v="9"/>
    <x v="890"/>
    <x v="3"/>
    <x v="1"/>
  </r>
  <r>
    <n v="26"/>
    <x v="4"/>
    <s v="Tuesday"/>
    <d v="2025-06-24T00:00:00"/>
    <x v="10"/>
    <x v="891"/>
    <x v="1"/>
    <x v="0"/>
  </r>
  <r>
    <n v="26"/>
    <x v="4"/>
    <s v="Tuesday"/>
    <d v="2025-06-24T00:00:00"/>
    <x v="11"/>
    <x v="892"/>
    <x v="2"/>
    <x v="2"/>
  </r>
  <r>
    <n v="26"/>
    <x v="4"/>
    <s v="Tuesday"/>
    <d v="2025-06-24T00:00:00"/>
    <x v="12"/>
    <x v="893"/>
    <x v="2"/>
    <x v="1"/>
  </r>
  <r>
    <n v="26"/>
    <x v="4"/>
    <s v="Tuesday"/>
    <d v="2025-06-24T00:00:00"/>
    <x v="13"/>
    <x v="894"/>
    <x v="2"/>
    <x v="1"/>
  </r>
  <r>
    <n v="26"/>
    <x v="4"/>
    <s v="Tuesday"/>
    <d v="2025-06-24T00:00:00"/>
    <x v="14"/>
    <x v="895"/>
    <x v="1"/>
    <x v="1"/>
  </r>
  <r>
    <n v="26"/>
    <x v="4"/>
    <s v="Tuesday"/>
    <d v="2025-06-24T00:00:00"/>
    <x v="15"/>
    <x v="896"/>
    <x v="2"/>
    <x v="1"/>
  </r>
  <r>
    <n v="26"/>
    <x v="4"/>
    <s v="Tuesday"/>
    <d v="2025-06-24T00:00:00"/>
    <x v="16"/>
    <x v="897"/>
    <x v="2"/>
    <x v="1"/>
  </r>
  <r>
    <n v="26"/>
    <x v="4"/>
    <s v="Tuesday"/>
    <d v="2025-06-24T00:00:00"/>
    <x v="17"/>
    <x v="898"/>
    <x v="1"/>
    <x v="0"/>
  </r>
  <r>
    <n v="26"/>
    <x v="4"/>
    <s v="Tuesday"/>
    <d v="2025-06-24T00:00:00"/>
    <x v="18"/>
    <x v="899"/>
    <x v="0"/>
    <x v="2"/>
  </r>
  <r>
    <n v="26"/>
    <x v="4"/>
    <s v="Tuesday"/>
    <d v="2025-06-24T00:00:00"/>
    <x v="19"/>
    <x v="900"/>
    <x v="0"/>
    <x v="0"/>
  </r>
  <r>
    <n v="26"/>
    <x v="4"/>
    <s v="Tuesday"/>
    <d v="2025-06-24T00:00:00"/>
    <x v="20"/>
    <x v="901"/>
    <x v="2"/>
    <x v="1"/>
  </r>
  <r>
    <n v="26"/>
    <x v="4"/>
    <s v="Tuesday"/>
    <d v="2025-06-24T00:00:00"/>
    <x v="21"/>
    <x v="902"/>
    <x v="3"/>
    <x v="1"/>
  </r>
  <r>
    <n v="26"/>
    <x v="4"/>
    <s v="Tuesday"/>
    <d v="2025-06-24T00:00:00"/>
    <x v="22"/>
    <x v="903"/>
    <x v="2"/>
    <x v="1"/>
  </r>
  <r>
    <n v="26"/>
    <x v="4"/>
    <s v="Tuesday"/>
    <d v="2025-06-24T00:00:00"/>
    <x v="23"/>
    <x v="904"/>
    <x v="3"/>
    <x v="1"/>
  </r>
  <r>
    <n v="26"/>
    <x v="4"/>
    <s v="Tuesday"/>
    <d v="2025-06-24T00:00:00"/>
    <x v="24"/>
    <x v="905"/>
    <x v="0"/>
    <x v="2"/>
  </r>
  <r>
    <n v="26"/>
    <x v="4"/>
    <s v="Tuesday"/>
    <d v="2025-06-24T00:00:00"/>
    <x v="25"/>
    <x v="906"/>
    <x v="2"/>
    <x v="1"/>
  </r>
  <r>
    <n v="26"/>
    <x v="4"/>
    <s v="Tuesday"/>
    <d v="2025-06-24T00:00:00"/>
    <x v="26"/>
    <x v="907"/>
    <x v="0"/>
    <x v="0"/>
  </r>
  <r>
    <n v="26"/>
    <x v="4"/>
    <s v="Tuesday"/>
    <d v="2025-06-24T00:00:00"/>
    <x v="27"/>
    <x v="902"/>
    <x v="2"/>
    <x v="1"/>
  </r>
  <r>
    <n v="26"/>
    <x v="4"/>
    <s v="Tuesday"/>
    <d v="2025-06-24T00:00:00"/>
    <x v="28"/>
    <x v="908"/>
    <x v="3"/>
    <x v="1"/>
  </r>
  <r>
    <n v="26"/>
    <x v="4"/>
    <s v="Tuesday"/>
    <d v="2025-06-24T00:00:00"/>
    <x v="29"/>
    <x v="909"/>
    <x v="3"/>
    <x v="1"/>
  </r>
  <r>
    <n v="26"/>
    <x v="4"/>
    <s v="Wednesday"/>
    <d v="2025-06-25T00:00:00"/>
    <x v="0"/>
    <x v="885"/>
    <x v="2"/>
    <x v="1"/>
  </r>
  <r>
    <n v="26"/>
    <x v="4"/>
    <s v="Wednesday"/>
    <d v="2025-06-25T00:00:00"/>
    <x v="1"/>
    <x v="910"/>
    <x v="2"/>
    <x v="1"/>
  </r>
  <r>
    <n v="26"/>
    <x v="4"/>
    <s v="Wednesday"/>
    <d v="2025-06-25T00:00:00"/>
    <x v="2"/>
    <x v="911"/>
    <x v="2"/>
    <x v="0"/>
  </r>
  <r>
    <n v="26"/>
    <x v="4"/>
    <s v="Wednesday"/>
    <d v="2025-06-25T00:00:00"/>
    <x v="3"/>
    <x v="912"/>
    <x v="0"/>
    <x v="2"/>
  </r>
  <r>
    <n v="26"/>
    <x v="4"/>
    <s v="Wednesday"/>
    <d v="2025-06-25T00:00:00"/>
    <x v="4"/>
    <x v="913"/>
    <x v="2"/>
    <x v="1"/>
  </r>
  <r>
    <n v="26"/>
    <x v="4"/>
    <s v="Wednesday"/>
    <d v="2025-06-25T00:00:00"/>
    <x v="5"/>
    <x v="914"/>
    <x v="2"/>
    <x v="1"/>
  </r>
  <r>
    <n v="26"/>
    <x v="4"/>
    <s v="Wednesday"/>
    <d v="2025-06-25T00:00:00"/>
    <x v="6"/>
    <x v="915"/>
    <x v="2"/>
    <x v="1"/>
  </r>
  <r>
    <n v="26"/>
    <x v="4"/>
    <s v="Wednesday"/>
    <d v="2025-06-25T00:00:00"/>
    <x v="7"/>
    <x v="916"/>
    <x v="2"/>
    <x v="2"/>
  </r>
  <r>
    <n v="26"/>
    <x v="4"/>
    <s v="Wednesday"/>
    <d v="2025-06-25T00:00:00"/>
    <x v="8"/>
    <x v="917"/>
    <x v="3"/>
    <x v="2"/>
  </r>
  <r>
    <n v="26"/>
    <x v="4"/>
    <s v="Wednesday"/>
    <d v="2025-06-25T00:00:00"/>
    <x v="9"/>
    <x v="918"/>
    <x v="2"/>
    <x v="2"/>
  </r>
  <r>
    <n v="26"/>
    <x v="4"/>
    <s v="Wednesday"/>
    <d v="2025-06-25T00:00:00"/>
    <x v="10"/>
    <x v="891"/>
    <x v="2"/>
    <x v="0"/>
  </r>
  <r>
    <n v="26"/>
    <x v="4"/>
    <s v="Wednesday"/>
    <d v="2025-06-25T00:00:00"/>
    <x v="11"/>
    <x v="919"/>
    <x v="0"/>
    <x v="2"/>
  </r>
  <r>
    <n v="26"/>
    <x v="4"/>
    <s v="Wednesday"/>
    <d v="2025-06-25T00:00:00"/>
    <x v="12"/>
    <x v="920"/>
    <x v="2"/>
    <x v="1"/>
  </r>
  <r>
    <n v="26"/>
    <x v="4"/>
    <s v="Wednesday"/>
    <d v="2025-06-25T00:00:00"/>
    <x v="13"/>
    <x v="921"/>
    <x v="0"/>
    <x v="0"/>
  </r>
  <r>
    <n v="26"/>
    <x v="4"/>
    <s v="Wednesday"/>
    <d v="2025-06-25T00:00:00"/>
    <x v="14"/>
    <x v="922"/>
    <x v="0"/>
    <x v="1"/>
  </r>
  <r>
    <n v="26"/>
    <x v="4"/>
    <s v="Wednesday"/>
    <d v="2025-06-25T00:00:00"/>
    <x v="15"/>
    <x v="923"/>
    <x v="2"/>
    <x v="1"/>
  </r>
  <r>
    <n v="26"/>
    <x v="4"/>
    <s v="Wednesday"/>
    <d v="2025-06-25T00:00:00"/>
    <x v="16"/>
    <x v="924"/>
    <x v="2"/>
    <x v="0"/>
  </r>
  <r>
    <n v="26"/>
    <x v="4"/>
    <s v="Wednesday"/>
    <d v="2025-06-25T00:00:00"/>
    <x v="17"/>
    <x v="925"/>
    <x v="1"/>
    <x v="1"/>
  </r>
  <r>
    <n v="26"/>
    <x v="4"/>
    <s v="Wednesday"/>
    <d v="2025-06-25T00:00:00"/>
    <x v="18"/>
    <x v="926"/>
    <x v="2"/>
    <x v="2"/>
  </r>
  <r>
    <n v="26"/>
    <x v="4"/>
    <s v="Wednesday"/>
    <d v="2025-06-25T00:00:00"/>
    <x v="19"/>
    <x v="927"/>
    <x v="2"/>
    <x v="0"/>
  </r>
  <r>
    <n v="26"/>
    <x v="4"/>
    <s v="Wednesday"/>
    <d v="2025-06-25T00:00:00"/>
    <x v="20"/>
    <x v="928"/>
    <x v="2"/>
    <x v="0"/>
  </r>
  <r>
    <n v="26"/>
    <x v="4"/>
    <s v="Wednesday"/>
    <d v="2025-06-25T00:00:00"/>
    <x v="21"/>
    <x v="929"/>
    <x v="2"/>
    <x v="1"/>
  </r>
  <r>
    <n v="26"/>
    <x v="4"/>
    <s v="Wednesday"/>
    <d v="2025-06-25T00:00:00"/>
    <x v="22"/>
    <x v="930"/>
    <x v="0"/>
    <x v="0"/>
  </r>
  <r>
    <n v="26"/>
    <x v="4"/>
    <s v="Wednesday"/>
    <d v="2025-06-25T00:00:00"/>
    <x v="23"/>
    <x v="931"/>
    <x v="1"/>
    <x v="0"/>
  </r>
  <r>
    <n v="26"/>
    <x v="4"/>
    <s v="Wednesday"/>
    <d v="2025-06-25T00:00:00"/>
    <x v="24"/>
    <x v="932"/>
    <x v="2"/>
    <x v="2"/>
  </r>
  <r>
    <n v="26"/>
    <x v="4"/>
    <s v="Wednesday"/>
    <d v="2025-06-25T00:00:00"/>
    <x v="25"/>
    <x v="933"/>
    <x v="2"/>
    <x v="1"/>
  </r>
  <r>
    <n v="26"/>
    <x v="4"/>
    <s v="Wednesday"/>
    <d v="2025-06-25T00:00:00"/>
    <x v="26"/>
    <x v="934"/>
    <x v="2"/>
    <x v="2"/>
  </r>
  <r>
    <n v="26"/>
    <x v="4"/>
    <s v="Wednesday"/>
    <d v="2025-06-25T00:00:00"/>
    <x v="27"/>
    <x v="935"/>
    <x v="2"/>
    <x v="1"/>
  </r>
  <r>
    <n v="26"/>
    <x v="4"/>
    <s v="Wednesday"/>
    <d v="2025-06-25T00:00:00"/>
    <x v="28"/>
    <x v="936"/>
    <x v="3"/>
    <x v="1"/>
  </r>
  <r>
    <n v="26"/>
    <x v="4"/>
    <s v="Wednesday"/>
    <d v="2025-06-25T00:00:00"/>
    <x v="29"/>
    <x v="937"/>
    <x v="2"/>
    <x v="2"/>
  </r>
  <r>
    <n v="26"/>
    <x v="4"/>
    <s v="Wednesday"/>
    <d v="2025-06-25T00:00:00"/>
    <x v="30"/>
    <x v="938"/>
    <x v="0"/>
    <x v="1"/>
  </r>
  <r>
    <n v="26"/>
    <x v="4"/>
    <s v="Thursday"/>
    <d v="2025-06-26T00:00:00"/>
    <x v="0"/>
    <x v="877"/>
    <x v="1"/>
    <x v="0"/>
  </r>
  <r>
    <n v="26"/>
    <x v="4"/>
    <s v="Thursday"/>
    <d v="2025-06-26T00:00:00"/>
    <x v="1"/>
    <x v="939"/>
    <x v="0"/>
    <x v="0"/>
  </r>
  <r>
    <n v="26"/>
    <x v="4"/>
    <s v="Thursday"/>
    <d v="2025-06-26T00:00:00"/>
    <x v="2"/>
    <x v="940"/>
    <x v="2"/>
    <x v="1"/>
  </r>
  <r>
    <n v="26"/>
    <x v="4"/>
    <s v="Thursday"/>
    <d v="2025-06-26T00:00:00"/>
    <x v="3"/>
    <x v="925"/>
    <x v="2"/>
    <x v="1"/>
  </r>
  <r>
    <n v="26"/>
    <x v="4"/>
    <s v="Thursday"/>
    <d v="2025-06-26T00:00:00"/>
    <x v="4"/>
    <x v="941"/>
    <x v="3"/>
    <x v="0"/>
  </r>
  <r>
    <n v="26"/>
    <x v="4"/>
    <s v="Thursday"/>
    <d v="2025-06-26T00:00:00"/>
    <x v="5"/>
    <x v="942"/>
    <x v="3"/>
    <x v="0"/>
  </r>
  <r>
    <n v="26"/>
    <x v="4"/>
    <s v="Thursday"/>
    <d v="2025-06-26T00:00:00"/>
    <x v="6"/>
    <x v="943"/>
    <x v="2"/>
    <x v="2"/>
  </r>
  <r>
    <n v="26"/>
    <x v="4"/>
    <s v="Thursday"/>
    <d v="2025-06-26T00:00:00"/>
    <x v="7"/>
    <x v="944"/>
    <x v="2"/>
    <x v="2"/>
  </r>
  <r>
    <n v="26"/>
    <x v="4"/>
    <s v="Thursday"/>
    <d v="2025-06-26T00:00:00"/>
    <x v="8"/>
    <x v="942"/>
    <x v="2"/>
    <x v="0"/>
  </r>
  <r>
    <n v="26"/>
    <x v="4"/>
    <s v="Thursday"/>
    <d v="2025-06-26T00:00:00"/>
    <x v="9"/>
    <x v="945"/>
    <x v="2"/>
    <x v="1"/>
  </r>
  <r>
    <n v="26"/>
    <x v="4"/>
    <s v="Thursday"/>
    <d v="2025-06-26T00:00:00"/>
    <x v="10"/>
    <x v="946"/>
    <x v="0"/>
    <x v="0"/>
  </r>
  <r>
    <n v="26"/>
    <x v="4"/>
    <s v="Thursday"/>
    <d v="2025-06-26T00:00:00"/>
    <x v="11"/>
    <x v="947"/>
    <x v="1"/>
    <x v="2"/>
  </r>
  <r>
    <n v="26"/>
    <x v="4"/>
    <s v="Thursday"/>
    <d v="2025-06-26T00:00:00"/>
    <x v="12"/>
    <x v="948"/>
    <x v="2"/>
    <x v="2"/>
  </r>
  <r>
    <n v="26"/>
    <x v="4"/>
    <s v="Thursday"/>
    <d v="2025-06-26T00:00:00"/>
    <x v="13"/>
    <x v="949"/>
    <x v="2"/>
    <x v="1"/>
  </r>
  <r>
    <n v="26"/>
    <x v="4"/>
    <s v="Thursday"/>
    <d v="2025-06-26T00:00:00"/>
    <x v="14"/>
    <x v="950"/>
    <x v="2"/>
    <x v="1"/>
  </r>
  <r>
    <n v="26"/>
    <x v="4"/>
    <s v="Thursday"/>
    <d v="2025-06-26T00:00:00"/>
    <x v="15"/>
    <x v="951"/>
    <x v="2"/>
    <x v="2"/>
  </r>
  <r>
    <n v="26"/>
    <x v="4"/>
    <s v="Thursday"/>
    <d v="2025-06-26T00:00:00"/>
    <x v="16"/>
    <x v="952"/>
    <x v="2"/>
    <x v="1"/>
  </r>
  <r>
    <n v="26"/>
    <x v="4"/>
    <s v="Thursday"/>
    <d v="2025-06-26T00:00:00"/>
    <x v="17"/>
    <x v="947"/>
    <x v="3"/>
    <x v="2"/>
  </r>
  <r>
    <n v="26"/>
    <x v="4"/>
    <s v="Thursday"/>
    <d v="2025-06-26T00:00:00"/>
    <x v="18"/>
    <x v="796"/>
    <x v="3"/>
    <x v="1"/>
  </r>
  <r>
    <n v="26"/>
    <x v="4"/>
    <s v="Thursday"/>
    <d v="2025-06-26T00:00:00"/>
    <x v="19"/>
    <x v="953"/>
    <x v="2"/>
    <x v="1"/>
  </r>
  <r>
    <n v="26"/>
    <x v="4"/>
    <s v="Thursday"/>
    <d v="2025-06-26T00:00:00"/>
    <x v="20"/>
    <x v="954"/>
    <x v="2"/>
    <x v="0"/>
  </r>
  <r>
    <n v="26"/>
    <x v="4"/>
    <s v="Thursday"/>
    <d v="2025-06-26T00:00:00"/>
    <x v="21"/>
    <x v="955"/>
    <x v="2"/>
    <x v="1"/>
  </r>
  <r>
    <n v="26"/>
    <x v="4"/>
    <s v="Thursday"/>
    <d v="2025-06-26T00:00:00"/>
    <x v="22"/>
    <x v="956"/>
    <x v="3"/>
    <x v="1"/>
  </r>
  <r>
    <n v="26"/>
    <x v="4"/>
    <s v="Thursday"/>
    <d v="2025-06-26T00:00:00"/>
    <x v="23"/>
    <x v="957"/>
    <x v="2"/>
    <x v="0"/>
  </r>
  <r>
    <n v="26"/>
    <x v="4"/>
    <s v="Thursday"/>
    <d v="2025-06-26T00:00:00"/>
    <x v="24"/>
    <x v="904"/>
    <x v="2"/>
    <x v="1"/>
  </r>
  <r>
    <n v="26"/>
    <x v="4"/>
    <s v="Thursday"/>
    <d v="2025-06-26T00:00:00"/>
    <x v="25"/>
    <x v="958"/>
    <x v="2"/>
    <x v="2"/>
  </r>
  <r>
    <n v="26"/>
    <x v="4"/>
    <s v="Thursday"/>
    <d v="2025-06-26T00:00:00"/>
    <x v="26"/>
    <x v="959"/>
    <x v="2"/>
    <x v="0"/>
  </r>
  <r>
    <n v="26"/>
    <x v="4"/>
    <s v="Thursday"/>
    <d v="2025-06-26T00:00:00"/>
    <x v="27"/>
    <x v="96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56EDA0-4B23-46B1-94D5-1DC3D8B621B1}" name="PivotTable3"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L3:M21" firstHeaderRow="1" firstDataRow="1" firstDataCol="1" rowPageCount="1" colPageCount="1"/>
  <pivotFields count="10">
    <pivotField showAll="0"/>
    <pivotField showAll="0"/>
    <pivotField showAll="0"/>
    <pivotField axis="axisRow" numFmtId="14"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dataField="1" showAll="0"/>
    <pivotField showAll="0"/>
    <pivotField name="Weekly Trend" axis="axisPage" showAll="0">
      <items count="6">
        <item x="3"/>
        <item x="1"/>
        <item x="2"/>
        <item x="0"/>
        <item x="4"/>
        <item t="default"/>
      </items>
    </pivotField>
    <pivotField showAll="0"/>
    <pivotField showAll="0"/>
    <pivotField showAll="0"/>
  </pivotFields>
  <rowFields count="1">
    <field x="3"/>
  </rowFields>
  <rowItems count="18">
    <i>
      <x v="1"/>
    </i>
    <i>
      <x v="2"/>
    </i>
    <i>
      <x v="3"/>
    </i>
    <i>
      <x v="4"/>
    </i>
    <i>
      <x v="5"/>
    </i>
    <i>
      <x v="6"/>
    </i>
    <i>
      <x v="7"/>
    </i>
    <i>
      <x v="8"/>
    </i>
    <i>
      <x v="9"/>
    </i>
    <i>
      <x v="13"/>
    </i>
    <i>
      <x v="18"/>
    </i>
    <i>
      <x v="22"/>
    </i>
    <i>
      <x v="24"/>
    </i>
    <i>
      <x v="25"/>
    </i>
    <i>
      <x v="26"/>
    </i>
    <i>
      <x v="44"/>
    </i>
    <i>
      <x v="48"/>
    </i>
    <i t="grand">
      <x/>
    </i>
  </rowItems>
  <colItems count="1">
    <i/>
  </colItems>
  <pageFields count="1">
    <pageField fld="6" hier="-1"/>
  </pageFields>
  <dataFields count="1">
    <dataField name="Sum of Count" fld="4" baseField="0" baseItem="0"/>
  </dataFields>
  <formats count="15">
    <format dxfId="14">
      <pivotArea field="6" type="button" dataOnly="0" labelOnly="1" outline="0" axis="axisPage" fieldPosition="0"/>
    </format>
    <format dxfId="13">
      <pivotArea field="6" type="button" dataOnly="0" labelOnly="1" outline="0" axis="axisPage" fieldPosition="0"/>
    </format>
    <format dxfId="12">
      <pivotArea type="all" dataOnly="0" outline="0" fieldPosition="0"/>
    </format>
    <format dxfId="11">
      <pivotArea outline="0" collapsedLevelsAreSubtotals="1" fieldPosition="0"/>
    </format>
    <format dxfId="10">
      <pivotArea field="3" type="button" dataOnly="0" labelOnly="1" outline="0" axis="axisRow" fieldPosition="0"/>
    </format>
    <format dxfId="9">
      <pivotArea dataOnly="0" labelOnly="1" fieldPosition="0">
        <references count="1">
          <reference field="3" count="17">
            <x v="1"/>
            <x v="2"/>
            <x v="3"/>
            <x v="4"/>
            <x v="5"/>
            <x v="6"/>
            <x v="7"/>
            <x v="8"/>
            <x v="9"/>
            <x v="13"/>
            <x v="18"/>
            <x v="22"/>
            <x v="24"/>
            <x v="25"/>
            <x v="26"/>
            <x v="44"/>
            <x v="48"/>
          </reference>
        </references>
      </pivotArea>
    </format>
    <format dxfId="8">
      <pivotArea dataOnly="0" labelOnly="1" grandRow="1" outline="0" fieldPosition="0"/>
    </format>
    <format dxfId="7">
      <pivotArea dataOnly="0" labelOnly="1" outline="0" axis="axisValues" fieldPosition="0"/>
    </format>
    <format dxfId="6">
      <pivotArea field="6" type="button" dataOnly="0" labelOnly="1" outline="0" axis="axisPage" fieldPosition="0"/>
    </format>
    <format dxfId="5">
      <pivotArea field="6" type="button" dataOnly="0" labelOnly="1" outline="0" axis="axisPage" fieldPosition="0"/>
    </format>
    <format dxfId="4">
      <pivotArea field="6" type="button" dataOnly="0" labelOnly="1" outline="0" axis="axisPage" fieldPosition="0"/>
    </format>
    <format dxfId="3">
      <pivotArea field="6" type="button" dataOnly="0" labelOnly="1" outline="0" axis="axisPage" fieldPosition="0"/>
    </format>
    <format dxfId="2">
      <pivotArea field="3" type="button" dataOnly="0" labelOnly="1" outline="0" axis="axisRow" fieldPosition="0"/>
    </format>
    <format dxfId="1">
      <pivotArea dataOnly="0" labelOnly="1" outline="0" axis="axisValues" fieldPosition="0"/>
    </format>
    <format dxfId="0">
      <pivotArea dataOnly="0" labelOnly="1" fieldPosition="0">
        <references count="1">
          <reference field="3" count="17">
            <x v="1"/>
            <x v="2"/>
            <x v="3"/>
            <x v="4"/>
            <x v="5"/>
            <x v="6"/>
            <x v="7"/>
            <x v="8"/>
            <x v="9"/>
            <x v="13"/>
            <x v="18"/>
            <x v="22"/>
            <x v="24"/>
            <x v="25"/>
            <x v="26"/>
            <x v="44"/>
            <x v="48"/>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7AA0A7-6A62-4149-B545-1D6AF439133B}" name="Cases over time"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2:I11" firstHeaderRow="1" firstDataRow="1" firstDataCol="1"/>
  <pivotFields count="8">
    <pivotField showAll="0"/>
    <pivotField axis="axisRow" showAll="0">
      <items count="9">
        <item sd="0" x="2"/>
        <item sd="0" x="7"/>
        <item sd="0" x="1"/>
        <item sd="0" x="0"/>
        <item sd="0" x="5"/>
        <item sd="0" x="4"/>
        <item sd="0" x="3"/>
        <item sd="0" x="6"/>
        <item t="default"/>
      </items>
    </pivotField>
    <pivotField showAll="0"/>
    <pivotField showAll="0"/>
    <pivotField dataField="1"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showAll="0">
      <items count="6">
        <item x="3"/>
        <item x="1"/>
        <item x="2"/>
        <item x="0"/>
        <item x="4"/>
        <item t="default"/>
      </items>
    </pivotField>
    <pivotField showAll="0"/>
  </pivotFields>
  <rowFields count="2">
    <field x="1"/>
    <field x="5"/>
  </rowFields>
  <rowItems count="9">
    <i>
      <x/>
    </i>
    <i>
      <x v="1"/>
    </i>
    <i>
      <x v="2"/>
    </i>
    <i>
      <x v="3"/>
    </i>
    <i>
      <x v="4"/>
    </i>
    <i>
      <x v="5"/>
    </i>
    <i>
      <x v="6"/>
    </i>
    <i>
      <x v="7"/>
    </i>
    <i t="grand">
      <x/>
    </i>
  </rowItems>
  <colItems count="1">
    <i/>
  </colItems>
  <dataFields count="1">
    <dataField name="Sum of Count" fld="4" baseField="0" baseItem="0"/>
  </dataFields>
  <formats count="10">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0"/>
        </references>
      </pivotArea>
    </format>
    <format dxfId="20">
      <pivotArea dataOnly="0" labelOnly="1" grandRow="1" outline="0" fieldPosition="0"/>
    </format>
    <format dxfId="19">
      <pivotArea dataOnly="0" labelOnly="1" outline="0" axis="axisValues" fieldPosition="0"/>
    </format>
    <format dxfId="18">
      <pivotArea field="1" type="button" dataOnly="0" labelOnly="1" outline="0" axis="axisRow" fieldPosition="0"/>
    </format>
    <format dxfId="17">
      <pivotArea dataOnly="0" labelOnly="1" outline="0" axis="axisValues" fieldPosition="0"/>
    </format>
    <format dxfId="16">
      <pivotArea dataOnly="0" labelOnly="1" fieldPosition="0">
        <references count="1">
          <reference field="1" count="0"/>
        </references>
      </pivotArea>
    </format>
    <format dxfId="1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B82F758-B7CB-4F8F-A767-14F652C9AEDA}" name="Escalation count by skill"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2:F6" firstHeaderRow="0" firstDataRow="1" firstDataCol="1"/>
  <pivotFields count="10">
    <pivotField showAll="0"/>
    <pivotField showAll="0">
      <items count="9">
        <item x="2"/>
        <item x="7"/>
        <item x="1"/>
        <item x="0"/>
        <item x="5"/>
        <item x="4"/>
        <item x="3"/>
        <item x="6"/>
        <item t="default"/>
      </items>
    </pivotField>
    <pivotField showAll="0"/>
    <pivotField showAll="0"/>
    <pivotField dataField="1" showAll="0"/>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showAll="0">
      <items count="6">
        <item x="3"/>
        <item x="1"/>
        <item x="2"/>
        <item x="0"/>
        <item x="4"/>
        <item t="default"/>
      </items>
    </pivotField>
    <pivotField axis="axisRow" showAll="0">
      <items count="4">
        <item sd="0" x="1"/>
        <item sd="0" x="0"/>
        <item sd="0" x="2"/>
        <item t="default"/>
      </items>
    </pivotField>
    <pivotField showAll="0"/>
    <pivotField dataField="1" showAll="0">
      <items count="3">
        <item x="1"/>
        <item x="0"/>
        <item t="default"/>
      </items>
    </pivotField>
  </pivotFields>
  <rowFields count="2">
    <field x="7"/>
    <field x="5"/>
  </rowFields>
  <rowItems count="4">
    <i>
      <x/>
    </i>
    <i>
      <x v="1"/>
    </i>
    <i>
      <x v="2"/>
    </i>
    <i t="grand">
      <x/>
    </i>
  </rowItems>
  <colFields count="1">
    <field x="-2"/>
  </colFields>
  <colItems count="2">
    <i>
      <x/>
    </i>
    <i i="1">
      <x v="1"/>
    </i>
  </colItems>
  <dataFields count="2">
    <dataField name="Sum of Count" fld="4" baseField="0" baseItem="0"/>
    <dataField name="Count of Escalation" fld="9" subtotal="count" baseField="0" baseItem="0"/>
  </dataFields>
  <formats count="11">
    <format dxfId="35">
      <pivotArea type="all" dataOnly="0" outline="0" fieldPosition="0"/>
    </format>
    <format dxfId="34">
      <pivotArea outline="0" collapsedLevelsAreSubtotals="1" fieldPosition="0"/>
    </format>
    <format dxfId="33">
      <pivotArea field="7" type="button" dataOnly="0" labelOnly="1" outline="0" axis="axisRow" fieldPosition="0"/>
    </format>
    <format dxfId="32">
      <pivotArea dataOnly="0" labelOnly="1" outline="0" fieldPosition="0">
        <references count="1">
          <reference field="4294967294" count="2">
            <x v="0"/>
            <x v="1"/>
          </reference>
        </references>
      </pivotArea>
    </format>
    <format dxfId="31">
      <pivotArea field="7" type="button" dataOnly="0" labelOnly="1" outline="0" axis="axisRow" fieldPosition="0"/>
    </format>
    <format dxfId="30">
      <pivotArea dataOnly="0" labelOnly="1" outline="0" fieldPosition="0">
        <references count="1">
          <reference field="4294967294" count="2">
            <x v="0"/>
            <x v="1"/>
          </reference>
        </references>
      </pivotArea>
    </format>
    <format dxfId="29">
      <pivotArea outline="0" collapsedLevelsAreSubtotals="1" fieldPosition="0">
        <references count="1">
          <reference field="4294967294" count="1" selected="0">
            <x v="0"/>
          </reference>
        </references>
      </pivotArea>
    </format>
    <format dxfId="28">
      <pivotArea dataOnly="0" labelOnly="1" fieldPosition="0">
        <references count="1">
          <reference field="7" count="0"/>
        </references>
      </pivotArea>
    </format>
    <format dxfId="27">
      <pivotArea dataOnly="0" labelOnly="1" grandRow="1" outline="0" fieldPosition="0"/>
    </format>
    <format dxfId="26">
      <pivotArea dataOnly="0" labelOnly="1" fieldPosition="0">
        <references count="1">
          <reference field="7" count="0"/>
        </references>
      </pivotArea>
    </format>
    <format dxfId="25">
      <pivotArea dataOnly="0" labelOnly="1" fieldPosition="0">
        <references count="1">
          <reference field="7"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E63F5F-CF92-4961-BDCD-4C373A71A587}" name="A case count by disposition"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0" firstHeaderRow="1" firstDataRow="1" firstDataCol="1" rowPageCount="1" colPageCount="1"/>
  <pivotFields count="8">
    <pivotField showAll="0"/>
    <pivotField showAll="0">
      <items count="9">
        <item x="2"/>
        <item x="7"/>
        <item x="1"/>
        <item x="0"/>
        <item x="5"/>
        <item x="4"/>
        <item x="3"/>
        <item x="6"/>
        <item t="default"/>
      </items>
    </pivotField>
    <pivotField showAll="0"/>
    <pivotField showAll="0"/>
    <pivotField dataField="1" showAll="0"/>
    <pivotField axis="axisRow" showAll="0">
      <items count="962">
        <item x="637"/>
        <item x="202"/>
        <item x="763"/>
        <item x="670"/>
        <item x="725"/>
        <item x="252"/>
        <item x="639"/>
        <item x="709"/>
        <item x="305"/>
        <item x="4"/>
        <item x="146"/>
        <item x="628"/>
        <item x="257"/>
        <item x="76"/>
        <item x="702"/>
        <item x="697"/>
        <item x="407"/>
        <item x="134"/>
        <item x="573"/>
        <item x="421"/>
        <item x="277"/>
        <item x="96"/>
        <item x="638"/>
        <item x="327"/>
        <item x="54"/>
        <item x="123"/>
        <item x="577"/>
        <item x="184"/>
        <item x="563"/>
        <item x="178"/>
        <item x="358"/>
        <item x="200"/>
        <item x="238"/>
        <item x="198"/>
        <item x="24"/>
        <item x="324"/>
        <item x="43"/>
        <item x="434"/>
        <item x="114"/>
        <item x="489"/>
        <item x="26"/>
        <item x="8"/>
        <item x="133"/>
        <item x="15"/>
        <item x="144"/>
        <item x="34"/>
        <item x="28"/>
        <item x="1"/>
        <item x="45"/>
        <item x="49"/>
        <item x="64"/>
        <item x="3"/>
        <item x="60"/>
        <item x="2"/>
        <item x="52"/>
        <item x="42"/>
        <item x="19"/>
        <item x="100"/>
        <item x="11"/>
        <item x="5"/>
        <item x="7"/>
        <item x="80"/>
        <item x="41"/>
        <item x="39"/>
        <item x="687"/>
        <item x="59"/>
        <item x="38"/>
        <item x="36"/>
        <item x="27"/>
        <item x="0"/>
        <item x="12"/>
        <item x="9"/>
        <item x="10"/>
        <item x="6"/>
        <item x="55"/>
        <item x="56"/>
        <item x="21"/>
        <item x="13"/>
        <item x="210"/>
        <item x="14"/>
        <item x="61"/>
        <item x="57"/>
        <item x="17"/>
        <item x="62"/>
        <item x="20"/>
        <item x="111"/>
        <item x="25"/>
        <item x="70"/>
        <item x="69"/>
        <item x="16"/>
        <item x="22"/>
        <item x="23"/>
        <item x="58"/>
        <item x="18"/>
        <item x="32"/>
        <item x="29"/>
        <item x="30"/>
        <item x="31"/>
        <item x="33"/>
        <item x="35"/>
        <item x="81"/>
        <item x="188"/>
        <item x="73"/>
        <item x="37"/>
        <item x="74"/>
        <item x="40"/>
        <item x="46"/>
        <item x="90"/>
        <item x="91"/>
        <item x="47"/>
        <item x="44"/>
        <item x="51"/>
        <item x="48"/>
        <item x="50"/>
        <item x="53"/>
        <item x="63"/>
        <item x="97"/>
        <item x="65"/>
        <item x="66"/>
        <item x="67"/>
        <item x="68"/>
        <item x="77"/>
        <item x="79"/>
        <item x="71"/>
        <item x="72"/>
        <item x="86"/>
        <item x="78"/>
        <item x="75"/>
        <item x="82"/>
        <item x="92"/>
        <item x="173"/>
        <item x="84"/>
        <item x="83"/>
        <item x="85"/>
        <item x="93"/>
        <item x="89"/>
        <item x="87"/>
        <item x="94"/>
        <item x="95"/>
        <item x="116"/>
        <item x="105"/>
        <item x="106"/>
        <item x="163"/>
        <item x="113"/>
        <item x="136"/>
        <item x="318"/>
        <item x="128"/>
        <item x="139"/>
        <item x="254"/>
        <item x="88"/>
        <item x="138"/>
        <item x="124"/>
        <item x="140"/>
        <item x="98"/>
        <item x="214"/>
        <item x="120"/>
        <item x="129"/>
        <item x="103"/>
        <item x="110"/>
        <item x="223"/>
        <item x="102"/>
        <item x="101"/>
        <item x="137"/>
        <item x="293"/>
        <item x="99"/>
        <item x="151"/>
        <item x="108"/>
        <item x="107"/>
        <item x="242"/>
        <item x="283"/>
        <item x="104"/>
        <item x="112"/>
        <item x="109"/>
        <item x="117"/>
        <item x="148"/>
        <item x="142"/>
        <item x="119"/>
        <item x="115"/>
        <item x="122"/>
        <item x="160"/>
        <item x="118"/>
        <item x="131"/>
        <item x="125"/>
        <item x="126"/>
        <item x="121"/>
        <item x="127"/>
        <item x="161"/>
        <item x="132"/>
        <item x="135"/>
        <item x="130"/>
        <item x="155"/>
        <item x="157"/>
        <item x="186"/>
        <item x="153"/>
        <item x="145"/>
        <item x="149"/>
        <item x="152"/>
        <item x="150"/>
        <item x="147"/>
        <item x="156"/>
        <item x="154"/>
        <item x="141"/>
        <item x="143"/>
        <item x="158"/>
        <item x="159"/>
        <item x="183"/>
        <item x="187"/>
        <item x="169"/>
        <item x="872"/>
        <item x="246"/>
        <item x="221"/>
        <item x="340"/>
        <item x="191"/>
        <item x="194"/>
        <item x="166"/>
        <item x="168"/>
        <item x="211"/>
        <item x="162"/>
        <item x="233"/>
        <item x="167"/>
        <item x="170"/>
        <item x="164"/>
        <item x="213"/>
        <item x="171"/>
        <item x="230"/>
        <item x="177"/>
        <item x="180"/>
        <item x="172"/>
        <item x="165"/>
        <item x="174"/>
        <item x="204"/>
        <item x="175"/>
        <item x="199"/>
        <item x="179"/>
        <item x="181"/>
        <item x="182"/>
        <item x="231"/>
        <item x="176"/>
        <item x="261"/>
        <item x="185"/>
        <item x="274"/>
        <item x="196"/>
        <item x="195"/>
        <item x="208"/>
        <item x="236"/>
        <item x="189"/>
        <item x="192"/>
        <item x="193"/>
        <item x="190"/>
        <item x="197"/>
        <item x="245"/>
        <item x="273"/>
        <item x="206"/>
        <item x="201"/>
        <item x="212"/>
        <item x="203"/>
        <item x="205"/>
        <item x="207"/>
        <item x="250"/>
        <item x="296"/>
        <item x="209"/>
        <item x="226"/>
        <item x="622"/>
        <item x="264"/>
        <item x="218"/>
        <item x="217"/>
        <item x="215"/>
        <item x="256"/>
        <item x="219"/>
        <item x="220"/>
        <item x="222"/>
        <item x="216"/>
        <item x="225"/>
        <item x="297"/>
        <item x="224"/>
        <item x="227"/>
        <item x="367"/>
        <item x="228"/>
        <item x="229"/>
        <item x="379"/>
        <item x="278"/>
        <item x="239"/>
        <item x="234"/>
        <item x="235"/>
        <item x="232"/>
        <item x="312"/>
        <item x="243"/>
        <item x="515"/>
        <item x="244"/>
        <item x="241"/>
        <item x="237"/>
        <item x="248"/>
        <item x="247"/>
        <item x="240"/>
        <item x="412"/>
        <item x="269"/>
        <item x="249"/>
        <item x="276"/>
        <item x="272"/>
        <item x="270"/>
        <item x="251"/>
        <item x="368"/>
        <item x="290"/>
        <item x="262"/>
        <item x="266"/>
        <item x="265"/>
        <item x="253"/>
        <item x="260"/>
        <item x="255"/>
        <item x="268"/>
        <item x="258"/>
        <item x="259"/>
        <item x="263"/>
        <item x="304"/>
        <item x="267"/>
        <item x="271"/>
        <item x="336"/>
        <item x="294"/>
        <item x="402"/>
        <item x="302"/>
        <item x="390"/>
        <item x="275"/>
        <item x="326"/>
        <item x="299"/>
        <item x="280"/>
        <item x="288"/>
        <item x="404"/>
        <item x="279"/>
        <item x="281"/>
        <item x="287"/>
        <item x="384"/>
        <item x="284"/>
        <item x="292"/>
        <item x="282"/>
        <item x="408"/>
        <item x="289"/>
        <item x="286"/>
        <item x="285"/>
        <item x="301"/>
        <item x="441"/>
        <item x="320"/>
        <item x="467"/>
        <item x="419"/>
        <item x="345"/>
        <item x="295"/>
        <item x="298"/>
        <item x="291"/>
        <item x="362"/>
        <item x="391"/>
        <item x="334"/>
        <item x="354"/>
        <item x="342"/>
        <item x="317"/>
        <item x="355"/>
        <item x="300"/>
        <item x="311"/>
        <item x="303"/>
        <item x="346"/>
        <item x="306"/>
        <item x="323"/>
        <item x="450"/>
        <item x="341"/>
        <item x="307"/>
        <item x="397"/>
        <item x="309"/>
        <item x="308"/>
        <item x="387"/>
        <item x="314"/>
        <item x="310"/>
        <item x="378"/>
        <item x="313"/>
        <item x="315"/>
        <item x="568"/>
        <item x="322"/>
        <item x="554"/>
        <item x="335"/>
        <item x="319"/>
        <item x="316"/>
        <item x="332"/>
        <item x="698"/>
        <item x="321"/>
        <item x="337"/>
        <item x="328"/>
        <item x="330"/>
        <item x="331"/>
        <item x="325"/>
        <item x="339"/>
        <item x="333"/>
        <item x="549"/>
        <item x="329"/>
        <item x="338"/>
        <item x="422"/>
        <item x="344"/>
        <item x="357"/>
        <item x="356"/>
        <item x="348"/>
        <item x="349"/>
        <item x="359"/>
        <item x="353"/>
        <item x="347"/>
        <item x="343"/>
        <item x="352"/>
        <item x="361"/>
        <item x="351"/>
        <item x="452"/>
        <item x="350"/>
        <item x="360"/>
        <item x="363"/>
        <item x="475"/>
        <item x="731"/>
        <item x="713"/>
        <item x="623"/>
        <item x="394"/>
        <item x="484"/>
        <item x="366"/>
        <item x="364"/>
        <item x="389"/>
        <item x="382"/>
        <item x="370"/>
        <item x="373"/>
        <item x="372"/>
        <item x="374"/>
        <item x="365"/>
        <item x="369"/>
        <item x="377"/>
        <item x="371"/>
        <item x="380"/>
        <item x="375"/>
        <item x="376"/>
        <item x="432"/>
        <item x="436"/>
        <item x="430"/>
        <item x="449"/>
        <item x="516"/>
        <item x="381"/>
        <item x="383"/>
        <item x="392"/>
        <item x="386"/>
        <item x="385"/>
        <item x="457"/>
        <item x="415"/>
        <item x="496"/>
        <item x="399"/>
        <item x="388"/>
        <item x="393"/>
        <item x="395"/>
        <item x="401"/>
        <item x="398"/>
        <item x="396"/>
        <item x="485"/>
        <item x="425"/>
        <item x="410"/>
        <item x="444"/>
        <item x="483"/>
        <item x="411"/>
        <item x="405"/>
        <item x="448"/>
        <item x="400"/>
        <item x="437"/>
        <item x="403"/>
        <item x="413"/>
        <item x="414"/>
        <item x="406"/>
        <item x="409"/>
        <item x="466"/>
        <item x="418"/>
        <item x="420"/>
        <item x="416"/>
        <item x="417"/>
        <item x="428"/>
        <item x="765"/>
        <item x="565"/>
        <item x="423"/>
        <item x="439"/>
        <item x="424"/>
        <item x="426"/>
        <item x="427"/>
        <item x="470"/>
        <item x="438"/>
        <item x="442"/>
        <item x="429"/>
        <item x="431"/>
        <item x="445"/>
        <item x="435"/>
        <item x="494"/>
        <item x="510"/>
        <item x="433"/>
        <item x="443"/>
        <item x="495"/>
        <item x="487"/>
        <item x="440"/>
        <item x="625"/>
        <item x="455"/>
        <item x="690"/>
        <item x="479"/>
        <item x="723"/>
        <item x="514"/>
        <item x="544"/>
        <item x="533"/>
        <item x="527"/>
        <item x="492"/>
        <item x="535"/>
        <item x="469"/>
        <item x="482"/>
        <item x="462"/>
        <item x="453"/>
        <item x="447"/>
        <item x="451"/>
        <item x="446"/>
        <item x="456"/>
        <item x="465"/>
        <item x="454"/>
        <item x="459"/>
        <item x="458"/>
        <item x="460"/>
        <item x="461"/>
        <item x="463"/>
        <item x="464"/>
        <item x="468"/>
        <item x="471"/>
        <item x="472"/>
        <item x="526"/>
        <item x="506"/>
        <item x="480"/>
        <item x="592"/>
        <item x="509"/>
        <item x="640"/>
        <item x="499"/>
        <item x="493"/>
        <item x="477"/>
        <item x="532"/>
        <item x="481"/>
        <item x="473"/>
        <item x="474"/>
        <item x="476"/>
        <item x="488"/>
        <item x="505"/>
        <item x="478"/>
        <item x="490"/>
        <item x="486"/>
        <item x="606"/>
        <item x="500"/>
        <item x="641"/>
        <item x="491"/>
        <item x="615"/>
        <item x="497"/>
        <item x="498"/>
        <item x="501"/>
        <item x="503"/>
        <item x="720"/>
        <item x="502"/>
        <item x="504"/>
        <item x="572"/>
        <item x="511"/>
        <item x="512"/>
        <item x="507"/>
        <item x="578"/>
        <item x="508"/>
        <item x="617"/>
        <item x="580"/>
        <item x="513"/>
        <item x="540"/>
        <item x="583"/>
        <item x="589"/>
        <item x="525"/>
        <item x="522"/>
        <item x="528"/>
        <item x="523"/>
        <item x="518"/>
        <item x="555"/>
        <item x="626"/>
        <item x="666"/>
        <item x="567"/>
        <item x="521"/>
        <item x="519"/>
        <item x="531"/>
        <item x="520"/>
        <item x="524"/>
        <item x="529"/>
        <item x="517"/>
        <item x="534"/>
        <item x="530"/>
        <item x="642"/>
        <item x="536"/>
        <item x="654"/>
        <item x="596"/>
        <item x="594"/>
        <item x="590"/>
        <item x="621"/>
        <item x="661"/>
        <item x="588"/>
        <item x="560"/>
        <item x="648"/>
        <item x="708"/>
        <item x="597"/>
        <item x="676"/>
        <item x="561"/>
        <item x="556"/>
        <item x="559"/>
        <item x="566"/>
        <item x="742"/>
        <item x="538"/>
        <item x="537"/>
        <item x="541"/>
        <item x="539"/>
        <item x="552"/>
        <item x="542"/>
        <item x="719"/>
        <item x="543"/>
        <item x="546"/>
        <item x="547"/>
        <item x="545"/>
        <item x="551"/>
        <item x="550"/>
        <item x="722"/>
        <item x="553"/>
        <item x="548"/>
        <item x="558"/>
        <item x="575"/>
        <item x="680"/>
        <item x="564"/>
        <item x="591"/>
        <item x="633"/>
        <item x="562"/>
        <item x="557"/>
        <item x="632"/>
        <item x="598"/>
        <item x="761"/>
        <item x="716"/>
        <item x="729"/>
        <item x="593"/>
        <item x="571"/>
        <item x="569"/>
        <item x="570"/>
        <item x="610"/>
        <item x="649"/>
        <item x="587"/>
        <item x="574"/>
        <item x="576"/>
        <item x="678"/>
        <item x="760"/>
        <item x="624"/>
        <item x="586"/>
        <item x="582"/>
        <item x="585"/>
        <item x="584"/>
        <item x="579"/>
        <item x="581"/>
        <item x="604"/>
        <item x="652"/>
        <item x="664"/>
        <item x="646"/>
        <item x="636"/>
        <item x="651"/>
        <item x="599"/>
        <item x="608"/>
        <item x="630"/>
        <item x="607"/>
        <item x="768"/>
        <item x="602"/>
        <item x="595"/>
        <item x="605"/>
        <item x="600"/>
        <item x="601"/>
        <item x="603"/>
        <item x="609"/>
        <item x="679"/>
        <item x="619"/>
        <item x="611"/>
        <item x="682"/>
        <item x="692"/>
        <item x="618"/>
        <item x="620"/>
        <item x="614"/>
        <item x="613"/>
        <item x="755"/>
        <item x="616"/>
        <item x="627"/>
        <item x="612"/>
        <item x="629"/>
        <item x="762"/>
        <item x="631"/>
        <item x="634"/>
        <item x="793"/>
        <item x="635"/>
        <item x="643"/>
        <item x="658"/>
        <item x="644"/>
        <item x="645"/>
        <item x="650"/>
        <item x="659"/>
        <item x="657"/>
        <item x="660"/>
        <item x="653"/>
        <item x="647"/>
        <item x="655"/>
        <item x="656"/>
        <item x="740"/>
        <item x="748"/>
        <item x="685"/>
        <item x="710"/>
        <item x="744"/>
        <item x="733"/>
        <item x="675"/>
        <item x="741"/>
        <item x="712"/>
        <item x="663"/>
        <item x="681"/>
        <item x="672"/>
        <item x="662"/>
        <item x="665"/>
        <item x="667"/>
        <item x="669"/>
        <item x="668"/>
        <item x="677"/>
        <item x="671"/>
        <item x="674"/>
        <item x="703"/>
        <item x="673"/>
        <item x="683"/>
        <item x="689"/>
        <item x="688"/>
        <item x="705"/>
        <item x="684"/>
        <item x="686"/>
        <item x="691"/>
        <item x="704"/>
        <item x="701"/>
        <item x="721"/>
        <item x="696"/>
        <item x="706"/>
        <item x="693"/>
        <item x="770"/>
        <item x="694"/>
        <item x="707"/>
        <item x="715"/>
        <item x="711"/>
        <item x="699"/>
        <item x="753"/>
        <item x="700"/>
        <item x="695"/>
        <item x="727"/>
        <item x="714"/>
        <item x="718"/>
        <item x="717"/>
        <item x="724"/>
        <item x="736"/>
        <item x="726"/>
        <item x="734"/>
        <item x="749"/>
        <item x="732"/>
        <item x="737"/>
        <item x="728"/>
        <item x="738"/>
        <item x="730"/>
        <item x="739"/>
        <item x="735"/>
        <item x="757"/>
        <item x="750"/>
        <item x="752"/>
        <item x="745"/>
        <item x="747"/>
        <item x="743"/>
        <item x="751"/>
        <item x="746"/>
        <item x="758"/>
        <item x="754"/>
        <item x="756"/>
        <item x="759"/>
        <item x="766"/>
        <item x="764"/>
        <item x="767"/>
        <item x="769"/>
        <item x="773"/>
        <item x="777"/>
        <item x="948"/>
        <item x="857"/>
        <item x="796"/>
        <item x="956"/>
        <item x="806"/>
        <item x="871"/>
        <item x="863"/>
        <item x="815"/>
        <item x="819"/>
        <item x="936"/>
        <item x="807"/>
        <item x="779"/>
        <item x="784"/>
        <item x="772"/>
        <item x="931"/>
        <item x="843"/>
        <item x="791"/>
        <item x="908"/>
        <item x="925"/>
        <item x="821"/>
        <item x="809"/>
        <item x="808"/>
        <item x="818"/>
        <item x="775"/>
        <item x="822"/>
        <item x="771"/>
        <item x="774"/>
        <item x="776"/>
        <item x="810"/>
        <item x="781"/>
        <item x="778"/>
        <item x="780"/>
        <item x="782"/>
        <item x="832"/>
        <item x="785"/>
        <item x="786"/>
        <item x="788"/>
        <item x="783"/>
        <item x="789"/>
        <item x="787"/>
        <item x="794"/>
        <item x="867"/>
        <item x="790"/>
        <item x="792"/>
        <item x="801"/>
        <item x="803"/>
        <item x="795"/>
        <item x="798"/>
        <item x="811"/>
        <item x="797"/>
        <item x="816"/>
        <item x="813"/>
        <item x="799"/>
        <item x="802"/>
        <item x="804"/>
        <item x="800"/>
        <item x="844"/>
        <item x="805"/>
        <item x="826"/>
        <item x="812"/>
        <item x="828"/>
        <item x="814"/>
        <item x="820"/>
        <item x="817"/>
        <item x="823"/>
        <item x="824"/>
        <item x="868"/>
        <item x="829"/>
        <item x="825"/>
        <item x="827"/>
        <item x="831"/>
        <item x="848"/>
        <item x="834"/>
        <item x="830"/>
        <item x="833"/>
        <item x="835"/>
        <item x="840"/>
        <item x="869"/>
        <item x="837"/>
        <item x="836"/>
        <item x="838"/>
        <item x="839"/>
        <item x="846"/>
        <item x="841"/>
        <item x="845"/>
        <item x="842"/>
        <item x="859"/>
        <item x="851"/>
        <item x="850"/>
        <item x="852"/>
        <item x="847"/>
        <item x="885"/>
        <item x="849"/>
        <item x="854"/>
        <item x="853"/>
        <item x="858"/>
        <item x="855"/>
        <item x="861"/>
        <item x="860"/>
        <item x="856"/>
        <item x="866"/>
        <item x="864"/>
        <item x="862"/>
        <item x="865"/>
        <item x="870"/>
        <item x="873"/>
        <item x="909"/>
        <item x="922"/>
        <item x="877"/>
        <item x="900"/>
        <item x="889"/>
        <item x="920"/>
        <item x="878"/>
        <item x="876"/>
        <item x="879"/>
        <item x="874"/>
        <item x="875"/>
        <item x="880"/>
        <item x="927"/>
        <item x="890"/>
        <item x="895"/>
        <item x="883"/>
        <item x="884"/>
        <item x="881"/>
        <item x="886"/>
        <item x="882"/>
        <item x="944"/>
        <item x="887"/>
        <item x="888"/>
        <item x="891"/>
        <item x="938"/>
        <item x="892"/>
        <item x="893"/>
        <item x="894"/>
        <item x="897"/>
        <item x="896"/>
        <item x="898"/>
        <item x="899"/>
        <item x="906"/>
        <item x="901"/>
        <item x="903"/>
        <item x="902"/>
        <item x="904"/>
        <item x="905"/>
        <item x="907"/>
        <item x="933"/>
        <item x="910"/>
        <item x="911"/>
        <item x="912"/>
        <item x="913"/>
        <item x="914"/>
        <item x="915"/>
        <item x="917"/>
        <item x="918"/>
        <item x="916"/>
        <item x="919"/>
        <item x="921"/>
        <item x="939"/>
        <item x="923"/>
        <item x="924"/>
        <item x="928"/>
        <item x="926"/>
        <item x="929"/>
        <item x="930"/>
        <item x="932"/>
        <item x="934"/>
        <item x="935"/>
        <item x="937"/>
        <item x="952"/>
        <item x="940"/>
        <item x="941"/>
        <item x="942"/>
        <item x="949"/>
        <item x="943"/>
        <item x="946"/>
        <item x="947"/>
        <item x="945"/>
        <item x="950"/>
        <item x="951"/>
        <item x="954"/>
        <item x="953"/>
        <item x="955"/>
        <item x="957"/>
        <item x="959"/>
        <item x="958"/>
        <item x="960"/>
        <item t="default"/>
      </items>
    </pivotField>
    <pivotField axis="axisPage" showAll="0">
      <items count="6">
        <item sd="0" x="3"/>
        <item sd="0" x="1"/>
        <item sd="0" x="2"/>
        <item sd="0" x="0"/>
        <item sd="0" x="4"/>
        <item t="default"/>
      </items>
    </pivotField>
    <pivotField showAll="0">
      <items count="4">
        <item x="1"/>
        <item h="1" x="0"/>
        <item h="1" x="2"/>
        <item t="default"/>
      </items>
    </pivotField>
  </pivotFields>
  <rowFields count="1">
    <field x="5"/>
  </rowFields>
  <rowItems count="7">
    <i>
      <x v="403"/>
    </i>
    <i>
      <x v="756"/>
    </i>
    <i>
      <x v="761"/>
    </i>
    <i>
      <x v="797"/>
    </i>
    <i>
      <x v="830"/>
    </i>
    <i>
      <x v="850"/>
    </i>
    <i t="grand">
      <x/>
    </i>
  </rowItems>
  <colItems count="1">
    <i/>
  </colItems>
  <pageFields count="1">
    <pageField fld="6" item="4" hier="-1"/>
  </pageFields>
  <dataFields count="1">
    <dataField name="Sum of Count" fld="4" baseField="0" baseItem="0"/>
  </dataFields>
  <formats count="31">
    <format dxfId="66">
      <pivotArea field="6" type="button" dataOnly="0" labelOnly="1" outline="0" axis="axisPage" fieldPosition="0"/>
    </format>
    <format dxfId="65">
      <pivotArea type="all" dataOnly="0" outline="0" fieldPosition="0"/>
    </format>
    <format dxfId="64">
      <pivotArea outline="0" collapsedLevelsAreSubtotals="1" fieldPosition="0"/>
    </format>
    <format dxfId="63">
      <pivotArea field="5" type="button" dataOnly="0" labelOnly="1" outline="0" axis="axisRow" fieldPosition="0"/>
    </format>
    <format dxfId="62">
      <pivotArea dataOnly="0" labelOnly="1" fieldPosition="0">
        <references count="1">
          <reference field="5" count="50">
            <x v="0"/>
            <x v="1"/>
            <x v="3"/>
            <x v="4"/>
            <x v="5"/>
            <x v="6"/>
            <x v="9"/>
            <x v="10"/>
            <x v="11"/>
            <x v="13"/>
            <x v="14"/>
            <x v="15"/>
            <x v="18"/>
            <x v="20"/>
            <x v="23"/>
            <x v="24"/>
            <x v="25"/>
            <x v="30"/>
            <x v="33"/>
            <x v="34"/>
            <x v="35"/>
            <x v="37"/>
            <x v="39"/>
            <x v="40"/>
            <x v="44"/>
            <x v="49"/>
            <x v="50"/>
            <x v="57"/>
            <x v="60"/>
            <x v="61"/>
            <x v="64"/>
            <x v="71"/>
            <x v="72"/>
            <x v="77"/>
            <x v="83"/>
            <x v="84"/>
            <x v="89"/>
            <x v="90"/>
            <x v="95"/>
            <x v="96"/>
            <x v="98"/>
            <x v="100"/>
            <x v="110"/>
            <x v="115"/>
            <x v="116"/>
            <x v="117"/>
            <x v="119"/>
            <x v="120"/>
            <x v="121"/>
            <x v="122"/>
          </reference>
        </references>
      </pivotArea>
    </format>
    <format dxfId="61">
      <pivotArea dataOnly="0" labelOnly="1" fieldPosition="0">
        <references count="1">
          <reference field="5" count="50">
            <x v="131"/>
            <x v="132"/>
            <x v="139"/>
            <x v="143"/>
            <x v="144"/>
            <x v="148"/>
            <x v="153"/>
            <x v="159"/>
            <x v="160"/>
            <x v="163"/>
            <x v="165"/>
            <x v="173"/>
            <x v="176"/>
            <x v="177"/>
            <x v="182"/>
            <x v="186"/>
            <x v="187"/>
            <x v="191"/>
            <x v="192"/>
            <x v="193"/>
            <x v="194"/>
            <x v="195"/>
            <x v="196"/>
            <x v="198"/>
            <x v="201"/>
            <x v="202"/>
            <x v="203"/>
            <x v="206"/>
            <x v="207"/>
            <x v="208"/>
            <x v="209"/>
            <x v="211"/>
            <x v="212"/>
            <x v="214"/>
            <x v="217"/>
            <x v="220"/>
            <x v="221"/>
            <x v="222"/>
            <x v="223"/>
            <x v="227"/>
            <x v="228"/>
            <x v="230"/>
            <x v="233"/>
            <x v="234"/>
            <x v="235"/>
            <x v="238"/>
            <x v="240"/>
            <x v="243"/>
            <x v="244"/>
            <x v="248"/>
          </reference>
        </references>
      </pivotArea>
    </format>
    <format dxfId="60">
      <pivotArea dataOnly="0" labelOnly="1" fieldPosition="0">
        <references count="1">
          <reference field="5" count="50">
            <x v="249"/>
            <x v="251"/>
            <x v="252"/>
            <x v="256"/>
            <x v="259"/>
            <x v="260"/>
            <x v="262"/>
            <x v="263"/>
            <x v="264"/>
            <x v="265"/>
            <x v="266"/>
            <x v="271"/>
            <x v="275"/>
            <x v="276"/>
            <x v="282"/>
            <x v="286"/>
            <x v="287"/>
            <x v="288"/>
            <x v="294"/>
            <x v="295"/>
            <x v="297"/>
            <x v="300"/>
            <x v="303"/>
            <x v="306"/>
            <x v="308"/>
            <x v="309"/>
            <x v="310"/>
            <x v="312"/>
            <x v="314"/>
            <x v="315"/>
            <x v="316"/>
            <x v="318"/>
            <x v="321"/>
            <x v="322"/>
            <x v="325"/>
            <x v="328"/>
            <x v="333"/>
            <x v="335"/>
            <x v="336"/>
            <x v="338"/>
            <x v="341"/>
            <x v="346"/>
            <x v="348"/>
            <x v="349"/>
            <x v="352"/>
            <x v="355"/>
            <x v="356"/>
            <x v="364"/>
            <x v="365"/>
            <x v="367"/>
          </reference>
        </references>
      </pivotArea>
    </format>
    <format dxfId="59">
      <pivotArea dataOnly="0" labelOnly="1" fieldPosition="0">
        <references count="1">
          <reference field="5" count="50">
            <x v="369"/>
            <x v="372"/>
            <x v="381"/>
            <x v="384"/>
            <x v="385"/>
            <x v="386"/>
            <x v="390"/>
            <x v="392"/>
            <x v="395"/>
            <x v="399"/>
            <x v="400"/>
            <x v="402"/>
            <x v="403"/>
            <x v="404"/>
            <x v="405"/>
            <x v="408"/>
            <x v="409"/>
            <x v="410"/>
            <x v="412"/>
            <x v="413"/>
            <x v="414"/>
            <x v="415"/>
            <x v="420"/>
            <x v="425"/>
            <x v="426"/>
            <x v="429"/>
            <x v="430"/>
            <x v="432"/>
            <x v="433"/>
            <x v="434"/>
            <x v="435"/>
            <x v="437"/>
            <x v="443"/>
            <x v="445"/>
            <x v="449"/>
            <x v="450"/>
            <x v="452"/>
            <x v="456"/>
            <x v="458"/>
            <x v="460"/>
            <x v="464"/>
            <x v="465"/>
            <x v="467"/>
            <x v="468"/>
            <x v="469"/>
            <x v="470"/>
            <x v="472"/>
            <x v="473"/>
            <x v="474"/>
            <x v="475"/>
          </reference>
        </references>
      </pivotArea>
    </format>
    <format dxfId="58">
      <pivotArea dataOnly="0" labelOnly="1" fieldPosition="0">
        <references count="1">
          <reference field="5" count="50">
            <x v="478"/>
            <x v="479"/>
            <x v="480"/>
            <x v="481"/>
            <x v="482"/>
            <x v="484"/>
            <x v="486"/>
            <x v="487"/>
            <x v="488"/>
            <x v="490"/>
            <x v="492"/>
            <x v="493"/>
            <x v="494"/>
            <x v="495"/>
            <x v="496"/>
            <x v="497"/>
            <x v="499"/>
            <x v="501"/>
            <x v="504"/>
            <x v="505"/>
            <x v="509"/>
            <x v="512"/>
            <x v="513"/>
            <x v="515"/>
            <x v="520"/>
            <x v="524"/>
            <x v="527"/>
            <x v="529"/>
            <x v="530"/>
            <x v="532"/>
            <x v="538"/>
            <x v="539"/>
            <x v="540"/>
            <x v="541"/>
            <x v="542"/>
            <x v="543"/>
            <x v="546"/>
            <x v="549"/>
            <x v="551"/>
            <x v="557"/>
            <x v="558"/>
            <x v="559"/>
            <x v="560"/>
            <x v="561"/>
            <x v="563"/>
            <x v="565"/>
            <x v="568"/>
            <x v="569"/>
            <x v="572"/>
            <x v="573"/>
          </reference>
        </references>
      </pivotArea>
    </format>
    <format dxfId="57">
      <pivotArea dataOnly="0" labelOnly="1" fieldPosition="0">
        <references count="1">
          <reference field="5" count="50">
            <x v="575"/>
            <x v="578"/>
            <x v="579"/>
            <x v="581"/>
            <x v="583"/>
            <x v="585"/>
            <x v="589"/>
            <x v="591"/>
            <x v="595"/>
            <x v="597"/>
            <x v="598"/>
            <x v="599"/>
            <x v="600"/>
            <x v="602"/>
            <x v="604"/>
            <x v="605"/>
            <x v="609"/>
            <x v="611"/>
            <x v="618"/>
            <x v="620"/>
            <x v="621"/>
            <x v="622"/>
            <x v="627"/>
            <x v="632"/>
            <x v="636"/>
            <x v="638"/>
            <x v="642"/>
            <x v="644"/>
            <x v="645"/>
            <x v="648"/>
            <x v="649"/>
            <x v="650"/>
            <x v="656"/>
            <x v="657"/>
            <x v="660"/>
            <x v="661"/>
            <x v="662"/>
            <x v="663"/>
            <x v="669"/>
            <x v="670"/>
            <x v="672"/>
            <x v="673"/>
            <x v="674"/>
            <x v="675"/>
            <x v="676"/>
            <x v="678"/>
            <x v="679"/>
            <x v="680"/>
            <x v="683"/>
            <x v="684"/>
          </reference>
        </references>
      </pivotArea>
    </format>
    <format dxfId="56">
      <pivotArea dataOnly="0" labelOnly="1" fieldPosition="0">
        <references count="1">
          <reference field="5" count="50">
            <x v="685"/>
            <x v="687"/>
            <x v="688"/>
            <x v="693"/>
            <x v="694"/>
            <x v="695"/>
            <x v="696"/>
            <x v="697"/>
            <x v="698"/>
            <x v="699"/>
            <x v="701"/>
            <x v="702"/>
            <x v="706"/>
            <x v="709"/>
            <x v="712"/>
            <x v="716"/>
            <x v="719"/>
            <x v="720"/>
            <x v="722"/>
            <x v="723"/>
            <x v="724"/>
            <x v="725"/>
            <x v="726"/>
            <x v="728"/>
            <x v="734"/>
            <x v="735"/>
            <x v="736"/>
            <x v="738"/>
            <x v="740"/>
            <x v="743"/>
            <x v="745"/>
            <x v="746"/>
            <x v="747"/>
            <x v="748"/>
            <x v="751"/>
            <x v="752"/>
            <x v="754"/>
            <x v="756"/>
            <x v="757"/>
            <x v="760"/>
            <x v="761"/>
            <x v="763"/>
            <x v="766"/>
            <x v="767"/>
            <x v="768"/>
            <x v="769"/>
            <x v="770"/>
            <x v="772"/>
            <x v="773"/>
            <x v="774"/>
          </reference>
        </references>
      </pivotArea>
    </format>
    <format dxfId="55">
      <pivotArea dataOnly="0" labelOnly="1" fieldPosition="0">
        <references count="1">
          <reference field="5" count="50">
            <x v="777"/>
            <x v="778"/>
            <x v="779"/>
            <x v="781"/>
            <x v="784"/>
            <x v="787"/>
            <x v="790"/>
            <x v="791"/>
            <x v="792"/>
            <x v="793"/>
            <x v="797"/>
            <x v="800"/>
            <x v="801"/>
            <x v="803"/>
            <x v="804"/>
            <x v="805"/>
            <x v="806"/>
            <x v="810"/>
            <x v="811"/>
            <x v="812"/>
            <x v="814"/>
            <x v="817"/>
            <x v="821"/>
            <x v="823"/>
            <x v="825"/>
            <x v="826"/>
            <x v="828"/>
            <x v="829"/>
            <x v="830"/>
            <x v="832"/>
            <x v="833"/>
            <x v="834"/>
            <x v="835"/>
            <x v="836"/>
            <x v="837"/>
            <x v="838"/>
            <x v="841"/>
            <x v="845"/>
            <x v="846"/>
            <x v="848"/>
            <x v="849"/>
            <x v="850"/>
            <x v="851"/>
            <x v="853"/>
            <x v="856"/>
            <x v="858"/>
            <x v="861"/>
            <x v="862"/>
            <x v="863"/>
            <x v="864"/>
          </reference>
        </references>
      </pivotArea>
    </format>
    <format dxfId="54">
      <pivotArea dataOnly="0" labelOnly="1" fieldPosition="0">
        <references count="1">
          <reference field="5" count="45">
            <x v="865"/>
            <x v="866"/>
            <x v="867"/>
            <x v="869"/>
            <x v="872"/>
            <x v="873"/>
            <x v="877"/>
            <x v="880"/>
            <x v="881"/>
            <x v="882"/>
            <x v="885"/>
            <x v="886"/>
            <x v="889"/>
            <x v="890"/>
            <x v="891"/>
            <x v="894"/>
            <x v="895"/>
            <x v="898"/>
            <x v="899"/>
            <x v="903"/>
            <x v="905"/>
            <x v="907"/>
            <x v="908"/>
            <x v="909"/>
            <x v="910"/>
            <x v="913"/>
            <x v="914"/>
            <x v="915"/>
            <x v="916"/>
            <x v="917"/>
            <x v="920"/>
            <x v="921"/>
            <x v="924"/>
            <x v="925"/>
            <x v="926"/>
            <x v="933"/>
            <x v="937"/>
            <x v="941"/>
            <x v="943"/>
            <x v="944"/>
            <x v="947"/>
            <x v="951"/>
            <x v="952"/>
            <x v="955"/>
            <x v="956"/>
          </reference>
        </references>
      </pivotArea>
    </format>
    <format dxfId="53">
      <pivotArea dataOnly="0" labelOnly="1" grandRow="1" outline="0" fieldPosition="0"/>
    </format>
    <format dxfId="52">
      <pivotArea dataOnly="0" labelOnly="1" outline="0" axis="axisValues" fieldPosition="0"/>
    </format>
    <format dxfId="51">
      <pivotArea field="6" type="button" dataOnly="0" labelOnly="1" outline="0" axis="axisPage" fieldPosition="0"/>
    </format>
    <format dxfId="50">
      <pivotArea field="6" type="button" dataOnly="0" labelOnly="1" outline="0" axis="axisPage" fieldPosition="0"/>
    </format>
    <format dxfId="49">
      <pivotArea field="6" type="button" dataOnly="0" labelOnly="1" outline="0" axis="axisPage" fieldPosition="0"/>
    </format>
    <format dxfId="48">
      <pivotArea field="6" type="button" dataOnly="0" labelOnly="1" outline="0" axis="axisPage" fieldPosition="0"/>
    </format>
    <format dxfId="47">
      <pivotArea field="5" type="button" dataOnly="0" labelOnly="1" outline="0" axis="axisRow" fieldPosition="0"/>
    </format>
    <format dxfId="46">
      <pivotArea dataOnly="0" labelOnly="1" outline="0" axis="axisValues" fieldPosition="0"/>
    </format>
    <format dxfId="45">
      <pivotArea dataOnly="0" labelOnly="1" fieldPosition="0">
        <references count="1">
          <reference field="5" count="50">
            <x v="0"/>
            <x v="1"/>
            <x v="3"/>
            <x v="4"/>
            <x v="5"/>
            <x v="6"/>
            <x v="9"/>
            <x v="10"/>
            <x v="11"/>
            <x v="13"/>
            <x v="14"/>
            <x v="15"/>
            <x v="18"/>
            <x v="20"/>
            <x v="23"/>
            <x v="24"/>
            <x v="25"/>
            <x v="30"/>
            <x v="33"/>
            <x v="34"/>
            <x v="35"/>
            <x v="37"/>
            <x v="39"/>
            <x v="40"/>
            <x v="44"/>
            <x v="49"/>
            <x v="50"/>
            <x v="57"/>
            <x v="60"/>
            <x v="61"/>
            <x v="64"/>
            <x v="71"/>
            <x v="72"/>
            <x v="77"/>
            <x v="83"/>
            <x v="84"/>
            <x v="89"/>
            <x v="90"/>
            <x v="95"/>
            <x v="96"/>
            <x v="98"/>
            <x v="100"/>
            <x v="110"/>
            <x v="115"/>
            <x v="116"/>
            <x v="117"/>
            <x v="119"/>
            <x v="120"/>
            <x v="121"/>
            <x v="122"/>
          </reference>
        </references>
      </pivotArea>
    </format>
    <format dxfId="44">
      <pivotArea dataOnly="0" labelOnly="1" fieldPosition="0">
        <references count="1">
          <reference field="5" count="50">
            <x v="131"/>
            <x v="132"/>
            <x v="139"/>
            <x v="143"/>
            <x v="144"/>
            <x v="148"/>
            <x v="153"/>
            <x v="159"/>
            <x v="160"/>
            <x v="163"/>
            <x v="165"/>
            <x v="173"/>
            <x v="176"/>
            <x v="177"/>
            <x v="182"/>
            <x v="186"/>
            <x v="187"/>
            <x v="191"/>
            <x v="192"/>
            <x v="193"/>
            <x v="194"/>
            <x v="195"/>
            <x v="196"/>
            <x v="198"/>
            <x v="201"/>
            <x v="202"/>
            <x v="203"/>
            <x v="206"/>
            <x v="207"/>
            <x v="208"/>
            <x v="209"/>
            <x v="211"/>
            <x v="212"/>
            <x v="214"/>
            <x v="217"/>
            <x v="220"/>
            <x v="221"/>
            <x v="222"/>
            <x v="223"/>
            <x v="227"/>
            <x v="228"/>
            <x v="230"/>
            <x v="233"/>
            <x v="234"/>
            <x v="235"/>
            <x v="238"/>
            <x v="240"/>
            <x v="243"/>
            <x v="244"/>
            <x v="248"/>
          </reference>
        </references>
      </pivotArea>
    </format>
    <format dxfId="43">
      <pivotArea dataOnly="0" labelOnly="1" fieldPosition="0">
        <references count="1">
          <reference field="5" count="50">
            <x v="249"/>
            <x v="251"/>
            <x v="252"/>
            <x v="256"/>
            <x v="259"/>
            <x v="260"/>
            <x v="262"/>
            <x v="263"/>
            <x v="264"/>
            <x v="265"/>
            <x v="266"/>
            <x v="271"/>
            <x v="275"/>
            <x v="276"/>
            <x v="282"/>
            <x v="286"/>
            <x v="287"/>
            <x v="288"/>
            <x v="294"/>
            <x v="295"/>
            <x v="297"/>
            <x v="300"/>
            <x v="303"/>
            <x v="306"/>
            <x v="308"/>
            <x v="309"/>
            <x v="310"/>
            <x v="312"/>
            <x v="314"/>
            <x v="315"/>
            <x v="316"/>
            <x v="318"/>
            <x v="321"/>
            <x v="322"/>
            <x v="325"/>
            <x v="328"/>
            <x v="333"/>
            <x v="335"/>
            <x v="336"/>
            <x v="338"/>
            <x v="341"/>
            <x v="346"/>
            <x v="348"/>
            <x v="349"/>
            <x v="352"/>
            <x v="355"/>
            <x v="356"/>
            <x v="364"/>
            <x v="365"/>
            <x v="367"/>
          </reference>
        </references>
      </pivotArea>
    </format>
    <format dxfId="42">
      <pivotArea dataOnly="0" labelOnly="1" fieldPosition="0">
        <references count="1">
          <reference field="5" count="50">
            <x v="369"/>
            <x v="372"/>
            <x v="381"/>
            <x v="384"/>
            <x v="385"/>
            <x v="386"/>
            <x v="390"/>
            <x v="392"/>
            <x v="395"/>
            <x v="399"/>
            <x v="400"/>
            <x v="402"/>
            <x v="403"/>
            <x v="404"/>
            <x v="405"/>
            <x v="408"/>
            <x v="409"/>
            <x v="410"/>
            <x v="412"/>
            <x v="413"/>
            <x v="414"/>
            <x v="415"/>
            <x v="420"/>
            <x v="425"/>
            <x v="426"/>
            <x v="429"/>
            <x v="430"/>
            <x v="432"/>
            <x v="433"/>
            <x v="434"/>
            <x v="435"/>
            <x v="437"/>
            <x v="443"/>
            <x v="445"/>
            <x v="449"/>
            <x v="450"/>
            <x v="452"/>
            <x v="456"/>
            <x v="458"/>
            <x v="460"/>
            <x v="464"/>
            <x v="465"/>
            <x v="467"/>
            <x v="468"/>
            <x v="469"/>
            <x v="470"/>
            <x v="472"/>
            <x v="473"/>
            <x v="474"/>
            <x v="475"/>
          </reference>
        </references>
      </pivotArea>
    </format>
    <format dxfId="41">
      <pivotArea dataOnly="0" labelOnly="1" fieldPosition="0">
        <references count="1">
          <reference field="5" count="50">
            <x v="478"/>
            <x v="479"/>
            <x v="480"/>
            <x v="481"/>
            <x v="482"/>
            <x v="484"/>
            <x v="486"/>
            <x v="487"/>
            <x v="488"/>
            <x v="490"/>
            <x v="492"/>
            <x v="493"/>
            <x v="494"/>
            <x v="495"/>
            <x v="496"/>
            <x v="497"/>
            <x v="499"/>
            <x v="501"/>
            <x v="504"/>
            <x v="505"/>
            <x v="509"/>
            <x v="512"/>
            <x v="513"/>
            <x v="515"/>
            <x v="520"/>
            <x v="524"/>
            <x v="527"/>
            <x v="529"/>
            <x v="530"/>
            <x v="532"/>
            <x v="538"/>
            <x v="539"/>
            <x v="540"/>
            <x v="541"/>
            <x v="542"/>
            <x v="543"/>
            <x v="546"/>
            <x v="549"/>
            <x v="551"/>
            <x v="557"/>
            <x v="558"/>
            <x v="559"/>
            <x v="560"/>
            <x v="561"/>
            <x v="563"/>
            <x v="565"/>
            <x v="568"/>
            <x v="569"/>
            <x v="572"/>
            <x v="573"/>
          </reference>
        </references>
      </pivotArea>
    </format>
    <format dxfId="40">
      <pivotArea dataOnly="0" labelOnly="1" fieldPosition="0">
        <references count="1">
          <reference field="5" count="50">
            <x v="575"/>
            <x v="578"/>
            <x v="579"/>
            <x v="581"/>
            <x v="583"/>
            <x v="585"/>
            <x v="589"/>
            <x v="591"/>
            <x v="595"/>
            <x v="597"/>
            <x v="598"/>
            <x v="599"/>
            <x v="600"/>
            <x v="602"/>
            <x v="604"/>
            <x v="605"/>
            <x v="609"/>
            <x v="611"/>
            <x v="618"/>
            <x v="620"/>
            <x v="621"/>
            <x v="622"/>
            <x v="627"/>
            <x v="632"/>
            <x v="636"/>
            <x v="638"/>
            <x v="642"/>
            <x v="644"/>
            <x v="645"/>
            <x v="648"/>
            <x v="649"/>
            <x v="650"/>
            <x v="656"/>
            <x v="657"/>
            <x v="660"/>
            <x v="661"/>
            <x v="662"/>
            <x v="663"/>
            <x v="669"/>
            <x v="670"/>
            <x v="672"/>
            <x v="673"/>
            <x v="674"/>
            <x v="675"/>
            <x v="676"/>
            <x v="678"/>
            <x v="679"/>
            <x v="680"/>
            <x v="683"/>
            <x v="684"/>
          </reference>
        </references>
      </pivotArea>
    </format>
    <format dxfId="39">
      <pivotArea dataOnly="0" labelOnly="1" fieldPosition="0">
        <references count="1">
          <reference field="5" count="50">
            <x v="685"/>
            <x v="687"/>
            <x v="688"/>
            <x v="693"/>
            <x v="694"/>
            <x v="695"/>
            <x v="696"/>
            <x v="697"/>
            <x v="698"/>
            <x v="699"/>
            <x v="701"/>
            <x v="702"/>
            <x v="706"/>
            <x v="709"/>
            <x v="712"/>
            <x v="716"/>
            <x v="719"/>
            <x v="720"/>
            <x v="722"/>
            <x v="723"/>
            <x v="724"/>
            <x v="725"/>
            <x v="726"/>
            <x v="728"/>
            <x v="734"/>
            <x v="735"/>
            <x v="736"/>
            <x v="738"/>
            <x v="740"/>
            <x v="743"/>
            <x v="745"/>
            <x v="746"/>
            <x v="747"/>
            <x v="748"/>
            <x v="751"/>
            <x v="752"/>
            <x v="754"/>
            <x v="756"/>
            <x v="757"/>
            <x v="760"/>
            <x v="761"/>
            <x v="763"/>
            <x v="766"/>
            <x v="767"/>
            <x v="768"/>
            <x v="769"/>
            <x v="770"/>
            <x v="772"/>
            <x v="773"/>
            <x v="774"/>
          </reference>
        </references>
      </pivotArea>
    </format>
    <format dxfId="38">
      <pivotArea dataOnly="0" labelOnly="1" fieldPosition="0">
        <references count="1">
          <reference field="5" count="50">
            <x v="777"/>
            <x v="778"/>
            <x v="779"/>
            <x v="781"/>
            <x v="784"/>
            <x v="787"/>
            <x v="790"/>
            <x v="791"/>
            <x v="792"/>
            <x v="793"/>
            <x v="797"/>
            <x v="800"/>
            <x v="801"/>
            <x v="803"/>
            <x v="804"/>
            <x v="805"/>
            <x v="806"/>
            <x v="810"/>
            <x v="811"/>
            <x v="812"/>
            <x v="814"/>
            <x v="817"/>
            <x v="821"/>
            <x v="823"/>
            <x v="825"/>
            <x v="826"/>
            <x v="828"/>
            <x v="829"/>
            <x v="830"/>
            <x v="832"/>
            <x v="833"/>
            <x v="834"/>
            <x v="835"/>
            <x v="836"/>
            <x v="837"/>
            <x v="838"/>
            <x v="841"/>
            <x v="845"/>
            <x v="846"/>
            <x v="848"/>
            <x v="849"/>
            <x v="850"/>
            <x v="851"/>
            <x v="853"/>
            <x v="856"/>
            <x v="858"/>
            <x v="861"/>
            <x v="862"/>
            <x v="863"/>
            <x v="864"/>
          </reference>
        </references>
      </pivotArea>
    </format>
    <format dxfId="37">
      <pivotArea dataOnly="0" labelOnly="1" fieldPosition="0">
        <references count="1">
          <reference field="5" count="45">
            <x v="865"/>
            <x v="866"/>
            <x v="867"/>
            <x v="869"/>
            <x v="872"/>
            <x v="873"/>
            <x v="877"/>
            <x v="880"/>
            <x v="881"/>
            <x v="882"/>
            <x v="885"/>
            <x v="886"/>
            <x v="889"/>
            <x v="890"/>
            <x v="891"/>
            <x v="894"/>
            <x v="895"/>
            <x v="898"/>
            <x v="899"/>
            <x v="903"/>
            <x v="905"/>
            <x v="907"/>
            <x v="908"/>
            <x v="909"/>
            <x v="910"/>
            <x v="913"/>
            <x v="914"/>
            <x v="915"/>
            <x v="916"/>
            <x v="917"/>
            <x v="920"/>
            <x v="921"/>
            <x v="924"/>
            <x v="925"/>
            <x v="926"/>
            <x v="933"/>
            <x v="937"/>
            <x v="941"/>
            <x v="943"/>
            <x v="944"/>
            <x v="947"/>
            <x v="951"/>
            <x v="952"/>
            <x v="955"/>
            <x v="956"/>
          </reference>
        </references>
      </pivotArea>
    </format>
    <format dxfId="36">
      <pivotArea dataOnly="0" labelOnly="1" grandRow="1" outline="0" fieldPosition="0"/>
    </format>
  </formats>
  <pivotTableStyleInfo name="PivotStyleLight16" showRowHeaders="1" showColHeaders="1" showRowStripes="0" showColStripes="0" showLastColumn="1"/>
  <filters count="1">
    <filter fld="5" type="captionBeginsWith" evalOrder="-1" id="3" stringValue1="">
      <autoFilter ref="A1">
        <filterColumn colId="0">
          <customFilters>
            <customFilter val="*"/>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50FBA71-803C-4370-B38A-9BAFBE1D71BE}" sourceName="Month">
  <pivotTables>
    <pivotTable tabId="16" name="A case count by disposition"/>
  </pivotTables>
  <data>
    <tabular pivotCacheId="601068592">
      <items count="8">
        <i x="1" s="1"/>
        <i x="0" s="1"/>
        <i x="4" s="1"/>
        <i x="2" s="1" nd="1"/>
        <i x="7" s="1" nd="1"/>
        <i x="5" s="1" nd="1"/>
        <i x="3" s="1" nd="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 xr10:uid="{AFD6F681-1F14-47B4-B938-7CCB836BD4CF}" sourceName="Skill">
  <pivotTables>
    <pivotTable tabId="16" name="A case count by disposition"/>
  </pivotTables>
  <data>
    <tabular pivotCacheId="601068592">
      <items count="3">
        <i x="1" s="1"/>
        <i x="0"/>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A11C67E-C687-4D4E-8518-A912CAC60BB1}" sourceName="Month">
  <pivotTables>
    <pivotTable tabId="16" name="Escalation count by skill"/>
  </pivotTables>
  <data>
    <tabular pivotCacheId="1443794990">
      <items count="8">
        <i x="2" s="1"/>
        <i x="7" s="1"/>
        <i x="1" s="1"/>
        <i x="0" s="1"/>
        <i x="5" s="1"/>
        <i x="4" s="1"/>
        <i x="3"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Disposition" xr10:uid="{0E503E09-0B9D-4E3E-A175-9C8BA2BAD11A}" sourceName="Case Disposition">
  <pivotTables>
    <pivotTable tabId="16" name="Escalation count by skill"/>
  </pivotTables>
  <data>
    <tabular pivotCacheId="1443794990">
      <items count="5">
        <i x="3" s="1"/>
        <i x="1" s="1"/>
        <i x="2" s="1"/>
        <i x="0"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1" xr10:uid="{25D760F0-5D65-49C2-A137-AF107E0A7034}" sourceName="Skill">
  <pivotTables>
    <pivotTable tabId="16" name="Escalation count by skill"/>
  </pivotTables>
  <data>
    <tabular pivotCacheId="1443794990">
      <items count="3">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calation" xr10:uid="{649B21CA-11CF-406E-9C59-01C946FA8147}" sourceName="Escalation">
  <pivotTables>
    <pivotTable tabId="16" name="Escalation count by skill"/>
  </pivotTables>
  <data>
    <tabular pivotCacheId="1443794990">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280D3783-40C7-4CF4-A0A5-B1AD0FC951F3}" sourceName="Month">
  <pivotTables>
    <pivotTable tabId="16" name="Cases over time"/>
  </pivotTables>
  <data>
    <tabular pivotCacheId="601068592">
      <items count="8">
        <i x="2" s="1"/>
        <i x="7" s="1"/>
        <i x="1" s="1"/>
        <i x="0" s="1"/>
        <i x="5" s="1"/>
        <i x="4" s="1"/>
        <i x="3" s="1"/>
        <i x="6"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 xr10:uid="{6CF2CAFC-2EA8-4DEE-B092-089F3C0AF5C3}" sourceName="Count">
  <pivotTables>
    <pivotTable tabId="16" name="Cases over time"/>
  </pivotTables>
  <data>
    <tabular pivotCacheId="601068592">
      <items count="3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Disposition1" xr10:uid="{31170C1B-0D10-44AD-A86E-5238A9D63214}" sourceName="Case Disposition">
  <pivotTables>
    <pivotTable tabId="16" name="Cases over time"/>
  </pivotTables>
  <data>
    <tabular pivotCacheId="601068592">
      <items count="5">
        <i x="3" s="1"/>
        <i x="1"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E61CBDA-6017-4610-B3BF-AACDB81B1B12}" cache="Slicer_Month" caption="Month" rowHeight="241300"/>
  <slicer name="Skill" xr10:uid="{AED07F88-80A2-495B-A597-41FD21407926}" cache="Slicer_Skill" caption="Skill" rowHeight="241300"/>
  <slicer name="Month 1" xr10:uid="{283A5AA6-06FC-49B5-B7BF-61FF72B68C88}" cache="Slicer_Month1" caption="Month" startItem="1" rowHeight="241300"/>
  <slicer name="Case Disposition" xr10:uid="{B061073B-C742-46EB-9778-015EB5405612}" cache="Slicer_Case_Disposition" caption="Case Disposition" rowHeight="241300"/>
  <slicer name="Skill 1" xr10:uid="{699EC0FD-A4E2-4E30-AFDA-257D4FA31AD1}" cache="Slicer_Skill1" caption="Skill" rowHeight="241300"/>
  <slicer name="Escalation" xr10:uid="{985CD62C-861F-4819-862F-EBA3556B5E27}" cache="Slicer_Escalation" caption="Escalation" rowHeight="241300"/>
  <slicer name="Month 2" xr10:uid="{69BE98E4-B239-4D7C-9582-C1B85A5B1649}" cache="Slicer_Month2" caption="Month" rowHeight="241300"/>
  <slicer name="Count" xr10:uid="{8A8D21F3-1A00-4523-8447-C9389D269154}" cache="Slicer_Count" caption="Count" rowHeight="241300"/>
  <slicer name="Case Disposition 1" xr10:uid="{7BD869ED-169E-4120-AB39-33E6183CFB48}" cache="Slicer_Case_Disposition1" caption="Case Disposi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96AF4F-A0AA-4CE0-A447-9D42EDA6CFCF}" name="Table1" displayName="Table1" ref="A1:J1038" totalsRowShown="0" headerRowDxfId="80" dataDxfId="78" headerRowBorderDxfId="79" tableBorderDxfId="77">
  <autoFilter ref="A1:J1038" xr:uid="{EE96AF4F-A0AA-4CE0-A447-9D42EDA6CFCF}"/>
  <tableColumns count="10">
    <tableColumn id="1" xr3:uid="{39F2605B-9A73-459D-AE42-7B944FDA8DA8}" name="Week" dataDxfId="76">
      <calculatedColumnFormula>WEEKNUM(D2)</calculatedColumnFormula>
    </tableColumn>
    <tableColumn id="2" xr3:uid="{0A0858BE-61B5-4715-8FAF-CE3591362997}" name="Month" dataDxfId="75">
      <calculatedColumnFormula>TEXT(D2,"MMMYYYY")</calculatedColumnFormula>
    </tableColumn>
    <tableColumn id="3" xr3:uid="{B7EC9AB3-69E9-4DF4-BA84-5A8C0F7AE3DA}" name="Day" dataDxfId="74">
      <calculatedColumnFormula>TEXT(D2,"dddd")</calculatedColumnFormula>
    </tableColumn>
    <tableColumn id="4" xr3:uid="{CAD9B272-DB62-4D1A-8EE2-DFBE26C7805B}" name="Date" dataDxfId="73"/>
    <tableColumn id="5" xr3:uid="{D3EB6D93-241E-4600-A016-36D111476A50}" name="Count" dataDxfId="72"/>
    <tableColumn id="6" xr3:uid="{0329216E-7F2C-4BDF-A207-2AEDC0B25920}" name="Case ID" dataDxfId="71"/>
    <tableColumn id="7" xr3:uid="{B96A1C02-EEA9-4018-A58C-BA2ABB9E9498}" name="Case Disposition" dataDxfId="70"/>
    <tableColumn id="8" xr3:uid="{7405B687-561E-4DAA-B7EA-AE542FFD397F}" name="Skill" dataDxfId="69"/>
    <tableColumn id="9" xr3:uid="{4F93F6C0-2482-4125-AF90-98C5D64A91EE}" name="Comments" dataDxfId="68"/>
    <tableColumn id="10" xr3:uid="{7C95494D-0928-48CC-AD82-46EEC84EFFF8}" name="Escalation" dataDxfId="67">
      <calculatedColumnFormula>IF(RAND()&lt;0.2,"Yes","No")</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CCCCFF"/>
            </a:gs>
            <a:gs pos="90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50800" dir="5400000" algn="ctr" rotWithShape="0">
            <a:schemeClr val="bg1">
              <a:lumMod val="50000"/>
            </a:schemeClr>
          </a:outerShdw>
          <a:reflection blurRad="6350" stA="52000" endA="300" endPos="35000" dir="5400000" sy="-100000" algn="bl" rotWithShape="0"/>
          <a:softEdge rad="31750"/>
        </a:effectLst>
        <a:scene3d>
          <a:camera prst="orthographicFront"/>
          <a:lightRig rig="threePt" dir="t"/>
        </a:scene3d>
        <a:sp3d prstMaterial="dkEdge">
          <a:bevelT w="114300" prst="artDeco"/>
          <a:bevelB w="114300" prst="hardEdge"/>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BB741-663E-48FB-94F9-873FFA2B3D0F}">
  <sheetPr codeName="Sheet4"/>
  <dimension ref="A1:J1038"/>
  <sheetViews>
    <sheetView tabSelected="1" workbookViewId="0"/>
  </sheetViews>
  <sheetFormatPr defaultRowHeight="14.5" x14ac:dyDescent="0.35"/>
  <cols>
    <col min="1" max="1" width="14.1796875" customWidth="1"/>
    <col min="4" max="4" width="17.36328125" style="2" customWidth="1"/>
    <col min="5" max="5" width="12.81640625" customWidth="1"/>
    <col min="6" max="6" width="15.6328125" customWidth="1"/>
    <col min="7" max="7" width="16.90625" customWidth="1"/>
    <col min="8" max="8" width="14.1796875" customWidth="1"/>
    <col min="9" max="9" width="26.90625" customWidth="1"/>
    <col min="10" max="10" width="17.26953125" customWidth="1"/>
  </cols>
  <sheetData>
    <row r="1" spans="1:10" s="36" customFormat="1" x14ac:dyDescent="0.35">
      <c r="A1" s="37" t="s">
        <v>239</v>
      </c>
      <c r="B1" s="38" t="s">
        <v>240</v>
      </c>
      <c r="C1" s="38" t="s">
        <v>241</v>
      </c>
      <c r="D1" s="39" t="s">
        <v>0</v>
      </c>
      <c r="E1" s="40" t="s">
        <v>67</v>
      </c>
      <c r="F1" s="40" t="s">
        <v>1</v>
      </c>
      <c r="G1" s="38" t="s">
        <v>2</v>
      </c>
      <c r="H1" s="38" t="s">
        <v>68</v>
      </c>
      <c r="I1" s="38" t="s">
        <v>6</v>
      </c>
      <c r="J1" s="41" t="s">
        <v>237</v>
      </c>
    </row>
    <row r="2" spans="1:10" x14ac:dyDescent="0.35">
      <c r="A2" s="12">
        <f>WEEKNUM(D2)</f>
        <v>2</v>
      </c>
      <c r="B2" s="12" t="str">
        <f>TEXT(D2,"MMMYYYY")</f>
        <v>Jan2025</v>
      </c>
      <c r="C2" s="12" t="str">
        <f>TEXT(D2,"dddd")</f>
        <v>Thursday</v>
      </c>
      <c r="D2" s="13">
        <v>45666</v>
      </c>
      <c r="E2" s="14">
        <v>1</v>
      </c>
      <c r="F2" s="15">
        <v>10691104772</v>
      </c>
      <c r="G2" s="14" t="s">
        <v>7</v>
      </c>
      <c r="H2" s="14" t="s">
        <v>21</v>
      </c>
      <c r="I2" s="16" t="s">
        <v>58</v>
      </c>
      <c r="J2" s="14" t="str">
        <f t="shared" ref="J2:J65" ca="1" si="0">IF(RAND()&lt;0.2,"Yes","No")</f>
        <v>No</v>
      </c>
    </row>
    <row r="3" spans="1:10" x14ac:dyDescent="0.35">
      <c r="A3" s="12">
        <f t="shared" ref="A3:A66" si="1">WEEKNUM(D3)</f>
        <v>2</v>
      </c>
      <c r="B3" s="12" t="str">
        <f t="shared" ref="B3:B66" si="2">TEXT(D3,"MMMYYYY")</f>
        <v>Jan2025</v>
      </c>
      <c r="C3" s="12" t="str">
        <f t="shared" ref="C3:C66" si="3">TEXT(D3,"dddd")</f>
        <v>Thursday</v>
      </c>
      <c r="D3" s="13">
        <v>45666</v>
      </c>
      <c r="E3" s="14">
        <v>2</v>
      </c>
      <c r="F3" s="15">
        <v>10680123972</v>
      </c>
      <c r="G3" s="14" t="s">
        <v>5</v>
      </c>
      <c r="H3" s="14" t="s">
        <v>21</v>
      </c>
      <c r="I3" s="16" t="s">
        <v>35</v>
      </c>
      <c r="J3" s="14" t="str">
        <f t="shared" ca="1" si="0"/>
        <v>No</v>
      </c>
    </row>
    <row r="4" spans="1:10" x14ac:dyDescent="0.35">
      <c r="A4" s="12">
        <f t="shared" si="1"/>
        <v>2</v>
      </c>
      <c r="B4" s="12" t="str">
        <f t="shared" si="2"/>
        <v>Jan2025</v>
      </c>
      <c r="C4" s="12" t="str">
        <f t="shared" si="3"/>
        <v>Thursday</v>
      </c>
      <c r="D4" s="13">
        <v>45666</v>
      </c>
      <c r="E4" s="14">
        <v>3</v>
      </c>
      <c r="F4" s="15">
        <v>10683507902</v>
      </c>
      <c r="G4" s="14" t="s">
        <v>5</v>
      </c>
      <c r="H4" s="14" t="s">
        <v>21</v>
      </c>
      <c r="I4" s="16" t="s">
        <v>51</v>
      </c>
      <c r="J4" s="14" t="str">
        <f t="shared" ca="1" si="0"/>
        <v>No</v>
      </c>
    </row>
    <row r="5" spans="1:10" x14ac:dyDescent="0.35">
      <c r="A5" s="12">
        <f t="shared" si="1"/>
        <v>2</v>
      </c>
      <c r="B5" s="12" t="str">
        <f t="shared" si="2"/>
        <v>Jan2025</v>
      </c>
      <c r="C5" s="12" t="str">
        <f t="shared" si="3"/>
        <v>Thursday</v>
      </c>
      <c r="D5" s="13">
        <v>45666</v>
      </c>
      <c r="E5" s="14">
        <v>4</v>
      </c>
      <c r="F5" s="15">
        <v>10682325712</v>
      </c>
      <c r="G5" s="14" t="s">
        <v>4</v>
      </c>
      <c r="H5" s="14" t="s">
        <v>21</v>
      </c>
      <c r="I5" s="16" t="s">
        <v>24</v>
      </c>
      <c r="J5" s="14" t="str">
        <f t="shared" ca="1" si="0"/>
        <v>No</v>
      </c>
    </row>
    <row r="6" spans="1:10" x14ac:dyDescent="0.35">
      <c r="A6" s="12">
        <f t="shared" si="1"/>
        <v>2</v>
      </c>
      <c r="B6" s="12" t="str">
        <f t="shared" si="2"/>
        <v>Jan2025</v>
      </c>
      <c r="C6" s="12" t="str">
        <f t="shared" si="3"/>
        <v>Thursday</v>
      </c>
      <c r="D6" s="13">
        <v>45666</v>
      </c>
      <c r="E6" s="14">
        <v>5</v>
      </c>
      <c r="F6" s="12">
        <v>10472816962</v>
      </c>
      <c r="G6" s="14" t="s">
        <v>5</v>
      </c>
      <c r="H6" s="14" t="s">
        <v>11</v>
      </c>
      <c r="I6" s="16" t="s">
        <v>46</v>
      </c>
      <c r="J6" s="14" t="str">
        <f t="shared" ca="1" si="0"/>
        <v>No</v>
      </c>
    </row>
    <row r="7" spans="1:10" x14ac:dyDescent="0.35">
      <c r="A7" s="12">
        <f t="shared" si="1"/>
        <v>2</v>
      </c>
      <c r="B7" s="12" t="str">
        <f t="shared" si="2"/>
        <v>Jan2025</v>
      </c>
      <c r="C7" s="12" t="str">
        <f t="shared" si="3"/>
        <v>Thursday</v>
      </c>
      <c r="D7" s="13">
        <v>45666</v>
      </c>
      <c r="E7" s="14">
        <v>6</v>
      </c>
      <c r="F7" s="12">
        <v>10687631122</v>
      </c>
      <c r="G7" s="14" t="s">
        <v>7</v>
      </c>
      <c r="H7" s="14" t="s">
        <v>61</v>
      </c>
      <c r="I7" s="16" t="s">
        <v>47</v>
      </c>
      <c r="J7" s="14" t="str">
        <f t="shared" ca="1" si="0"/>
        <v>No</v>
      </c>
    </row>
    <row r="8" spans="1:10" x14ac:dyDescent="0.35">
      <c r="A8" s="12">
        <f t="shared" si="1"/>
        <v>2</v>
      </c>
      <c r="B8" s="12" t="str">
        <f t="shared" si="2"/>
        <v>Jan2025</v>
      </c>
      <c r="C8" s="12" t="str">
        <f t="shared" si="3"/>
        <v>Thursday</v>
      </c>
      <c r="D8" s="13">
        <v>45666</v>
      </c>
      <c r="E8" s="14">
        <v>7</v>
      </c>
      <c r="F8" s="12">
        <v>10691745962</v>
      </c>
      <c r="G8" s="14" t="s">
        <v>4</v>
      </c>
      <c r="H8" s="14" t="s">
        <v>61</v>
      </c>
      <c r="I8" s="16" t="s">
        <v>56</v>
      </c>
      <c r="J8" s="14" t="str">
        <f t="shared" ca="1" si="0"/>
        <v>No</v>
      </c>
    </row>
    <row r="9" spans="1:10" ht="14.5" customHeight="1" x14ac:dyDescent="0.35">
      <c r="A9" s="12">
        <f t="shared" si="1"/>
        <v>2</v>
      </c>
      <c r="B9" s="12" t="str">
        <f t="shared" si="2"/>
        <v>Jan2025</v>
      </c>
      <c r="C9" s="12" t="str">
        <f t="shared" si="3"/>
        <v>Thursday</v>
      </c>
      <c r="D9" s="13">
        <v>45666</v>
      </c>
      <c r="E9" s="14">
        <v>8</v>
      </c>
      <c r="F9" s="12">
        <v>10688127342</v>
      </c>
      <c r="G9" s="14" t="s">
        <v>3</v>
      </c>
      <c r="H9" s="14" t="s">
        <v>61</v>
      </c>
      <c r="I9" s="17" t="s">
        <v>132</v>
      </c>
      <c r="J9" s="14" t="str">
        <f t="shared" ca="1" si="0"/>
        <v>No</v>
      </c>
    </row>
    <row r="10" spans="1:10" x14ac:dyDescent="0.35">
      <c r="A10" s="12">
        <f t="shared" si="1"/>
        <v>2</v>
      </c>
      <c r="B10" s="12" t="str">
        <f t="shared" si="2"/>
        <v>Jan2025</v>
      </c>
      <c r="C10" s="12" t="str">
        <f t="shared" si="3"/>
        <v>Thursday</v>
      </c>
      <c r="D10" s="13">
        <v>45666</v>
      </c>
      <c r="E10" s="14">
        <v>9</v>
      </c>
      <c r="F10" s="15">
        <v>10673689682</v>
      </c>
      <c r="G10" s="14" t="s">
        <v>5</v>
      </c>
      <c r="H10" s="14" t="s">
        <v>21</v>
      </c>
      <c r="I10" s="16" t="s">
        <v>35</v>
      </c>
      <c r="J10" s="14" t="str">
        <f t="shared" ca="1" si="0"/>
        <v>No</v>
      </c>
    </row>
    <row r="11" spans="1:10" x14ac:dyDescent="0.35">
      <c r="A11" s="12">
        <f t="shared" si="1"/>
        <v>2</v>
      </c>
      <c r="B11" s="12" t="str">
        <f t="shared" si="2"/>
        <v>Jan2025</v>
      </c>
      <c r="C11" s="12" t="str">
        <f t="shared" si="3"/>
        <v>Thursday</v>
      </c>
      <c r="D11" s="13">
        <v>45666</v>
      </c>
      <c r="E11" s="14">
        <v>10</v>
      </c>
      <c r="F11" s="12">
        <v>10691510562</v>
      </c>
      <c r="G11" s="14" t="s">
        <v>4</v>
      </c>
      <c r="H11" s="14" t="s">
        <v>11</v>
      </c>
      <c r="I11" s="16" t="s">
        <v>32</v>
      </c>
      <c r="J11" s="14" t="str">
        <f t="shared" ca="1" si="0"/>
        <v>No</v>
      </c>
    </row>
    <row r="12" spans="1:10" x14ac:dyDescent="0.35">
      <c r="A12" s="12">
        <f t="shared" si="1"/>
        <v>2</v>
      </c>
      <c r="B12" s="12" t="str">
        <f t="shared" si="2"/>
        <v>Jan2025</v>
      </c>
      <c r="C12" s="12" t="str">
        <f t="shared" si="3"/>
        <v>Thursday</v>
      </c>
      <c r="D12" s="13">
        <v>45666</v>
      </c>
      <c r="E12" s="14">
        <v>11</v>
      </c>
      <c r="F12" s="15">
        <v>10691612622</v>
      </c>
      <c r="G12" s="14" t="s">
        <v>4</v>
      </c>
      <c r="H12" s="14" t="s">
        <v>11</v>
      </c>
      <c r="I12" s="16" t="s">
        <v>76</v>
      </c>
      <c r="J12" s="14" t="str">
        <f t="shared" ca="1" si="0"/>
        <v>Yes</v>
      </c>
    </row>
    <row r="13" spans="1:10" x14ac:dyDescent="0.35">
      <c r="A13" s="12">
        <f t="shared" si="1"/>
        <v>2</v>
      </c>
      <c r="B13" s="12" t="str">
        <f t="shared" si="2"/>
        <v>Jan2025</v>
      </c>
      <c r="C13" s="12" t="str">
        <f t="shared" si="3"/>
        <v>Thursday</v>
      </c>
      <c r="D13" s="13">
        <v>45666</v>
      </c>
      <c r="E13" s="14">
        <v>12</v>
      </c>
      <c r="F13" s="15">
        <v>10687226472</v>
      </c>
      <c r="G13" s="14" t="s">
        <v>4</v>
      </c>
      <c r="H13" s="14" t="s">
        <v>21</v>
      </c>
      <c r="I13" s="16" t="s">
        <v>24</v>
      </c>
      <c r="J13" s="14" t="str">
        <f t="shared" ca="1" si="0"/>
        <v>No</v>
      </c>
    </row>
    <row r="14" spans="1:10" x14ac:dyDescent="0.35">
      <c r="A14" s="12">
        <f t="shared" si="1"/>
        <v>2</v>
      </c>
      <c r="B14" s="12" t="str">
        <f t="shared" si="2"/>
        <v>Jan2025</v>
      </c>
      <c r="C14" s="12" t="str">
        <f t="shared" si="3"/>
        <v>Thursday</v>
      </c>
      <c r="D14" s="13">
        <v>45666</v>
      </c>
      <c r="E14" s="14">
        <v>13</v>
      </c>
      <c r="F14" s="12">
        <v>10688127342</v>
      </c>
      <c r="G14" s="14" t="s">
        <v>3</v>
      </c>
      <c r="H14" s="14" t="s">
        <v>11</v>
      </c>
      <c r="I14" s="16" t="s">
        <v>16</v>
      </c>
      <c r="J14" s="14" t="str">
        <f t="shared" ca="1" si="0"/>
        <v>No</v>
      </c>
    </row>
    <row r="15" spans="1:10" x14ac:dyDescent="0.35">
      <c r="A15" s="12">
        <f t="shared" si="1"/>
        <v>2</v>
      </c>
      <c r="B15" s="12" t="str">
        <f t="shared" si="2"/>
        <v>Jan2025</v>
      </c>
      <c r="C15" s="12" t="str">
        <f t="shared" si="3"/>
        <v>Thursday</v>
      </c>
      <c r="D15" s="13">
        <v>45666</v>
      </c>
      <c r="E15" s="14">
        <v>14</v>
      </c>
      <c r="F15" s="15">
        <v>10691456342</v>
      </c>
      <c r="G15" s="14" t="s">
        <v>4</v>
      </c>
      <c r="H15" s="14" t="s">
        <v>21</v>
      </c>
      <c r="I15" s="16" t="s">
        <v>22</v>
      </c>
      <c r="J15" s="14" t="str">
        <f t="shared" ca="1" si="0"/>
        <v>Yes</v>
      </c>
    </row>
    <row r="16" spans="1:10" x14ac:dyDescent="0.35">
      <c r="A16" s="12">
        <f t="shared" si="1"/>
        <v>2</v>
      </c>
      <c r="B16" s="12" t="str">
        <f t="shared" si="2"/>
        <v>Jan2025</v>
      </c>
      <c r="C16" s="12" t="str">
        <f t="shared" si="3"/>
        <v>Thursday</v>
      </c>
      <c r="D16" s="13">
        <v>45666</v>
      </c>
      <c r="E16" s="14">
        <v>15</v>
      </c>
      <c r="F16" s="12">
        <v>10692697022</v>
      </c>
      <c r="G16" s="14" t="s">
        <v>4</v>
      </c>
      <c r="H16" s="14" t="s">
        <v>11</v>
      </c>
      <c r="I16" s="16" t="s">
        <v>92</v>
      </c>
      <c r="J16" s="14" t="str">
        <f t="shared" ca="1" si="0"/>
        <v>No</v>
      </c>
    </row>
    <row r="17" spans="1:10" x14ac:dyDescent="0.35">
      <c r="A17" s="12">
        <f t="shared" si="1"/>
        <v>2</v>
      </c>
      <c r="B17" s="12" t="str">
        <f t="shared" si="2"/>
        <v>Jan2025</v>
      </c>
      <c r="C17" s="12" t="str">
        <f t="shared" si="3"/>
        <v>Thursday</v>
      </c>
      <c r="D17" s="13">
        <v>45666</v>
      </c>
      <c r="E17" s="14">
        <v>16</v>
      </c>
      <c r="F17" s="15">
        <v>10692914732</v>
      </c>
      <c r="G17" s="14" t="s">
        <v>5</v>
      </c>
      <c r="H17" s="14" t="s">
        <v>21</v>
      </c>
      <c r="I17" s="16" t="s">
        <v>51</v>
      </c>
      <c r="J17" s="14" t="str">
        <f t="shared" ca="1" si="0"/>
        <v>No</v>
      </c>
    </row>
    <row r="18" spans="1:10" x14ac:dyDescent="0.35">
      <c r="A18" s="12">
        <f t="shared" si="1"/>
        <v>2</v>
      </c>
      <c r="B18" s="12" t="str">
        <f t="shared" si="2"/>
        <v>Jan2025</v>
      </c>
      <c r="C18" s="12" t="str">
        <f t="shared" si="3"/>
        <v>Thursday</v>
      </c>
      <c r="D18" s="13">
        <v>45666</v>
      </c>
      <c r="E18" s="14">
        <v>17</v>
      </c>
      <c r="F18" s="15">
        <v>10676184092</v>
      </c>
      <c r="G18" s="14" t="s">
        <v>4</v>
      </c>
      <c r="H18" s="14" t="s">
        <v>21</v>
      </c>
      <c r="I18" s="16" t="s">
        <v>24</v>
      </c>
      <c r="J18" s="14" t="str">
        <f t="shared" ca="1" si="0"/>
        <v>No</v>
      </c>
    </row>
    <row r="19" spans="1:10" x14ac:dyDescent="0.35">
      <c r="A19" s="12">
        <f t="shared" si="1"/>
        <v>2</v>
      </c>
      <c r="B19" s="12" t="str">
        <f t="shared" si="2"/>
        <v>Jan2025</v>
      </c>
      <c r="C19" s="12" t="str">
        <f t="shared" si="3"/>
        <v>Thursday</v>
      </c>
      <c r="D19" s="13">
        <v>45666</v>
      </c>
      <c r="E19" s="14">
        <v>18</v>
      </c>
      <c r="F19" s="12">
        <v>10688127342</v>
      </c>
      <c r="G19" s="14" t="s">
        <v>4</v>
      </c>
      <c r="H19" s="14" t="s">
        <v>11</v>
      </c>
      <c r="I19" s="16" t="s">
        <v>131</v>
      </c>
      <c r="J19" s="14" t="str">
        <f t="shared" ca="1" si="0"/>
        <v>No</v>
      </c>
    </row>
    <row r="20" spans="1:10" x14ac:dyDescent="0.35">
      <c r="A20" s="12">
        <f t="shared" si="1"/>
        <v>2</v>
      </c>
      <c r="B20" s="12" t="str">
        <f t="shared" si="2"/>
        <v>Jan2025</v>
      </c>
      <c r="C20" s="12" t="str">
        <f t="shared" si="3"/>
        <v>Friday</v>
      </c>
      <c r="D20" s="13">
        <v>45667</v>
      </c>
      <c r="E20" s="14">
        <v>1</v>
      </c>
      <c r="F20" s="12">
        <v>10694527502</v>
      </c>
      <c r="G20" s="14" t="s">
        <v>3</v>
      </c>
      <c r="H20" s="14" t="s">
        <v>11</v>
      </c>
      <c r="I20" s="16" t="s">
        <v>92</v>
      </c>
      <c r="J20" s="14" t="str">
        <f t="shared" ca="1" si="0"/>
        <v>No</v>
      </c>
    </row>
    <row r="21" spans="1:10" x14ac:dyDescent="0.35">
      <c r="A21" s="12">
        <f t="shared" si="1"/>
        <v>2</v>
      </c>
      <c r="B21" s="12" t="str">
        <f t="shared" si="2"/>
        <v>Jan2025</v>
      </c>
      <c r="C21" s="12" t="str">
        <f t="shared" si="3"/>
        <v>Friday</v>
      </c>
      <c r="D21" s="13">
        <v>45667</v>
      </c>
      <c r="E21" s="14">
        <v>2</v>
      </c>
      <c r="F21" s="15">
        <v>10693780822</v>
      </c>
      <c r="G21" s="14" t="s">
        <v>4</v>
      </c>
      <c r="H21" s="14" t="s">
        <v>21</v>
      </c>
      <c r="I21" s="16" t="s">
        <v>22</v>
      </c>
      <c r="J21" s="14" t="str">
        <f t="shared" ca="1" si="0"/>
        <v>Yes</v>
      </c>
    </row>
    <row r="22" spans="1:10" x14ac:dyDescent="0.35">
      <c r="A22" s="12">
        <f t="shared" si="1"/>
        <v>2</v>
      </c>
      <c r="B22" s="12" t="str">
        <f t="shared" si="2"/>
        <v>Jan2025</v>
      </c>
      <c r="C22" s="12" t="str">
        <f t="shared" si="3"/>
        <v>Friday</v>
      </c>
      <c r="D22" s="13">
        <v>45667</v>
      </c>
      <c r="E22" s="14">
        <v>3</v>
      </c>
      <c r="F22" s="12">
        <v>10694789962</v>
      </c>
      <c r="G22" s="14" t="s">
        <v>7</v>
      </c>
      <c r="H22" s="14" t="s">
        <v>61</v>
      </c>
      <c r="I22" s="16" t="s">
        <v>95</v>
      </c>
      <c r="J22" s="14" t="str">
        <f t="shared" ca="1" si="0"/>
        <v>No</v>
      </c>
    </row>
    <row r="23" spans="1:10" x14ac:dyDescent="0.35">
      <c r="A23" s="12">
        <f t="shared" si="1"/>
        <v>2</v>
      </c>
      <c r="B23" s="12" t="str">
        <f t="shared" si="2"/>
        <v>Jan2025</v>
      </c>
      <c r="C23" s="12" t="str">
        <f t="shared" si="3"/>
        <v>Friday</v>
      </c>
      <c r="D23" s="13">
        <v>45667</v>
      </c>
      <c r="E23" s="14">
        <v>4</v>
      </c>
      <c r="F23" s="15">
        <v>10686001022</v>
      </c>
      <c r="G23" s="14" t="s">
        <v>4</v>
      </c>
      <c r="H23" s="14" t="s">
        <v>21</v>
      </c>
      <c r="I23" s="16" t="s">
        <v>64</v>
      </c>
      <c r="J23" s="14" t="str">
        <f t="shared" ca="1" si="0"/>
        <v>No</v>
      </c>
    </row>
    <row r="24" spans="1:10" x14ac:dyDescent="0.35">
      <c r="A24" s="12">
        <f t="shared" si="1"/>
        <v>2</v>
      </c>
      <c r="B24" s="12" t="str">
        <f t="shared" si="2"/>
        <v>Jan2025</v>
      </c>
      <c r="C24" s="12" t="str">
        <f t="shared" si="3"/>
        <v>Friday</v>
      </c>
      <c r="D24" s="13">
        <v>45667</v>
      </c>
      <c r="E24" s="14">
        <v>5</v>
      </c>
      <c r="F24" s="12">
        <v>10694220542</v>
      </c>
      <c r="G24" s="14" t="s">
        <v>4</v>
      </c>
      <c r="H24" s="14" t="s">
        <v>11</v>
      </c>
      <c r="I24" s="16" t="s">
        <v>133</v>
      </c>
      <c r="J24" s="14" t="str">
        <f t="shared" ca="1" si="0"/>
        <v>Yes</v>
      </c>
    </row>
    <row r="25" spans="1:10" x14ac:dyDescent="0.35">
      <c r="A25" s="12">
        <f t="shared" si="1"/>
        <v>2</v>
      </c>
      <c r="B25" s="12" t="str">
        <f t="shared" si="2"/>
        <v>Jan2025</v>
      </c>
      <c r="C25" s="12" t="str">
        <f t="shared" si="3"/>
        <v>Friday</v>
      </c>
      <c r="D25" s="13">
        <v>45667</v>
      </c>
      <c r="E25" s="14">
        <v>6</v>
      </c>
      <c r="F25" s="12">
        <v>10692666722</v>
      </c>
      <c r="G25" s="14" t="s">
        <v>5</v>
      </c>
      <c r="H25" s="14" t="s">
        <v>61</v>
      </c>
      <c r="I25" s="16" t="s">
        <v>88</v>
      </c>
      <c r="J25" s="14" t="str">
        <f t="shared" ca="1" si="0"/>
        <v>No</v>
      </c>
    </row>
    <row r="26" spans="1:10" x14ac:dyDescent="0.35">
      <c r="A26" s="12">
        <f t="shared" si="1"/>
        <v>2</v>
      </c>
      <c r="B26" s="12" t="str">
        <f t="shared" si="2"/>
        <v>Jan2025</v>
      </c>
      <c r="C26" s="12" t="str">
        <f t="shared" si="3"/>
        <v>Friday</v>
      </c>
      <c r="D26" s="13">
        <v>45667</v>
      </c>
      <c r="E26" s="14">
        <v>7</v>
      </c>
      <c r="F26" s="12">
        <v>10694573542</v>
      </c>
      <c r="G26" s="14" t="s">
        <v>4</v>
      </c>
      <c r="H26" s="14" t="s">
        <v>11</v>
      </c>
      <c r="I26" s="16" t="s">
        <v>64</v>
      </c>
      <c r="J26" s="14" t="str">
        <f t="shared" ca="1" si="0"/>
        <v>No</v>
      </c>
    </row>
    <row r="27" spans="1:10" x14ac:dyDescent="0.35">
      <c r="A27" s="12">
        <f t="shared" si="1"/>
        <v>2</v>
      </c>
      <c r="B27" s="12" t="str">
        <f t="shared" si="2"/>
        <v>Jan2025</v>
      </c>
      <c r="C27" s="12" t="str">
        <f t="shared" si="3"/>
        <v>Friday</v>
      </c>
      <c r="D27" s="13">
        <v>45667</v>
      </c>
      <c r="E27" s="14">
        <v>8</v>
      </c>
      <c r="F27" s="12">
        <v>10694729622</v>
      </c>
      <c r="G27" s="14" t="s">
        <v>7</v>
      </c>
      <c r="H27" s="14" t="s">
        <v>61</v>
      </c>
      <c r="I27" s="16" t="s">
        <v>47</v>
      </c>
      <c r="J27" s="14" t="str">
        <f t="shared" ca="1" si="0"/>
        <v>No</v>
      </c>
    </row>
    <row r="28" spans="1:10" x14ac:dyDescent="0.35">
      <c r="A28" s="12">
        <f t="shared" si="1"/>
        <v>2</v>
      </c>
      <c r="B28" s="12" t="str">
        <f t="shared" si="2"/>
        <v>Jan2025</v>
      </c>
      <c r="C28" s="12" t="str">
        <f t="shared" si="3"/>
        <v>Friday</v>
      </c>
      <c r="D28" s="13">
        <v>45667</v>
      </c>
      <c r="E28" s="14">
        <v>9</v>
      </c>
      <c r="F28" s="12">
        <v>10657751562</v>
      </c>
      <c r="G28" s="14" t="s">
        <v>4</v>
      </c>
      <c r="H28" s="14" t="s">
        <v>11</v>
      </c>
      <c r="I28" s="16" t="s">
        <v>134</v>
      </c>
      <c r="J28" s="14" t="str">
        <f t="shared" ca="1" si="0"/>
        <v>No</v>
      </c>
    </row>
    <row r="29" spans="1:10" x14ac:dyDescent="0.35">
      <c r="A29" s="12">
        <f t="shared" si="1"/>
        <v>2</v>
      </c>
      <c r="B29" s="12" t="str">
        <f t="shared" si="2"/>
        <v>Jan2025</v>
      </c>
      <c r="C29" s="12" t="str">
        <f t="shared" si="3"/>
        <v>Friday</v>
      </c>
      <c r="D29" s="13">
        <v>45667</v>
      </c>
      <c r="E29" s="14">
        <v>10</v>
      </c>
      <c r="F29" s="12">
        <v>10694396672</v>
      </c>
      <c r="G29" s="14" t="s">
        <v>7</v>
      </c>
      <c r="H29" s="14" t="s">
        <v>61</v>
      </c>
      <c r="I29" s="16" t="s">
        <v>95</v>
      </c>
      <c r="J29" s="14" t="str">
        <f t="shared" ca="1" si="0"/>
        <v>No</v>
      </c>
    </row>
    <row r="30" spans="1:10" x14ac:dyDescent="0.35">
      <c r="A30" s="12">
        <f t="shared" si="1"/>
        <v>2</v>
      </c>
      <c r="B30" s="12" t="str">
        <f t="shared" si="2"/>
        <v>Jan2025</v>
      </c>
      <c r="C30" s="12" t="str">
        <f t="shared" si="3"/>
        <v>Friday</v>
      </c>
      <c r="D30" s="13">
        <v>45667</v>
      </c>
      <c r="E30" s="14">
        <v>11</v>
      </c>
      <c r="F30" s="12">
        <v>10672807182</v>
      </c>
      <c r="G30" s="14" t="s">
        <v>3</v>
      </c>
      <c r="H30" s="14" t="s">
        <v>11</v>
      </c>
      <c r="I30" s="16" t="s">
        <v>92</v>
      </c>
      <c r="J30" s="14" t="str">
        <f t="shared" ca="1" si="0"/>
        <v>Yes</v>
      </c>
    </row>
    <row r="31" spans="1:10" x14ac:dyDescent="0.35">
      <c r="A31" s="12">
        <f t="shared" si="1"/>
        <v>2</v>
      </c>
      <c r="B31" s="12" t="str">
        <f t="shared" si="2"/>
        <v>Jan2025</v>
      </c>
      <c r="C31" s="12" t="str">
        <f t="shared" si="3"/>
        <v>Friday</v>
      </c>
      <c r="D31" s="13">
        <v>45667</v>
      </c>
      <c r="E31" s="14">
        <v>12</v>
      </c>
      <c r="F31" s="12">
        <v>10691026862</v>
      </c>
      <c r="G31" s="14" t="s">
        <v>4</v>
      </c>
      <c r="H31" s="14" t="s">
        <v>21</v>
      </c>
      <c r="I31" s="16" t="s">
        <v>24</v>
      </c>
      <c r="J31" s="14" t="str">
        <f t="shared" ca="1" si="0"/>
        <v>No</v>
      </c>
    </row>
    <row r="32" spans="1:10" x14ac:dyDescent="0.35">
      <c r="A32" s="12">
        <f t="shared" si="1"/>
        <v>2</v>
      </c>
      <c r="B32" s="12" t="str">
        <f t="shared" si="2"/>
        <v>Jan2025</v>
      </c>
      <c r="C32" s="12" t="str">
        <f t="shared" si="3"/>
        <v>Friday</v>
      </c>
      <c r="D32" s="13">
        <v>45667</v>
      </c>
      <c r="E32" s="14">
        <v>13</v>
      </c>
      <c r="F32" s="12">
        <v>10680037052</v>
      </c>
      <c r="G32" s="14" t="s">
        <v>5</v>
      </c>
      <c r="H32" s="14" t="s">
        <v>21</v>
      </c>
      <c r="I32" s="16" t="s">
        <v>63</v>
      </c>
      <c r="J32" s="14" t="str">
        <f t="shared" ca="1" si="0"/>
        <v>No</v>
      </c>
    </row>
    <row r="33" spans="1:10" x14ac:dyDescent="0.35">
      <c r="A33" s="12">
        <f t="shared" si="1"/>
        <v>2</v>
      </c>
      <c r="B33" s="12" t="str">
        <f t="shared" si="2"/>
        <v>Jan2025</v>
      </c>
      <c r="C33" s="12" t="str">
        <f t="shared" si="3"/>
        <v>Friday</v>
      </c>
      <c r="D33" s="13">
        <v>45667</v>
      </c>
      <c r="E33" s="14">
        <v>14</v>
      </c>
      <c r="F33" s="12">
        <v>10695267352</v>
      </c>
      <c r="G33" s="14" t="s">
        <v>4</v>
      </c>
      <c r="H33" s="14" t="s">
        <v>11</v>
      </c>
      <c r="I33" s="16" t="s">
        <v>135</v>
      </c>
      <c r="J33" s="14" t="str">
        <f t="shared" ca="1" si="0"/>
        <v>No</v>
      </c>
    </row>
    <row r="34" spans="1:10" x14ac:dyDescent="0.35">
      <c r="A34" s="12">
        <f t="shared" si="1"/>
        <v>2</v>
      </c>
      <c r="B34" s="12" t="str">
        <f t="shared" si="2"/>
        <v>Jan2025</v>
      </c>
      <c r="C34" s="12" t="str">
        <f t="shared" si="3"/>
        <v>Friday</v>
      </c>
      <c r="D34" s="13">
        <v>45667</v>
      </c>
      <c r="E34" s="14">
        <v>15</v>
      </c>
      <c r="F34" s="12">
        <v>10695298132</v>
      </c>
      <c r="G34" s="14" t="s">
        <v>4</v>
      </c>
      <c r="H34" s="14" t="s">
        <v>11</v>
      </c>
      <c r="I34" s="16" t="s">
        <v>131</v>
      </c>
      <c r="J34" s="14" t="str">
        <f t="shared" ca="1" si="0"/>
        <v>No</v>
      </c>
    </row>
    <row r="35" spans="1:10" x14ac:dyDescent="0.35">
      <c r="A35" s="12">
        <f t="shared" si="1"/>
        <v>2</v>
      </c>
      <c r="B35" s="12" t="str">
        <f t="shared" si="2"/>
        <v>Jan2025</v>
      </c>
      <c r="C35" s="12" t="str">
        <f t="shared" si="3"/>
        <v>Friday</v>
      </c>
      <c r="D35" s="13">
        <v>45667</v>
      </c>
      <c r="E35" s="14">
        <v>16</v>
      </c>
      <c r="F35" s="12">
        <v>10695786382</v>
      </c>
      <c r="G35" s="14" t="s">
        <v>7</v>
      </c>
      <c r="H35" s="14" t="s">
        <v>21</v>
      </c>
      <c r="I35" s="16" t="s">
        <v>58</v>
      </c>
      <c r="J35" s="14" t="str">
        <f t="shared" ca="1" si="0"/>
        <v>No</v>
      </c>
    </row>
    <row r="36" spans="1:10" x14ac:dyDescent="0.35">
      <c r="A36" s="12">
        <f t="shared" si="1"/>
        <v>2</v>
      </c>
      <c r="B36" s="12" t="str">
        <f t="shared" si="2"/>
        <v>Jan2025</v>
      </c>
      <c r="C36" s="12" t="str">
        <f t="shared" si="3"/>
        <v>Friday</v>
      </c>
      <c r="D36" s="13">
        <v>45667</v>
      </c>
      <c r="E36" s="14">
        <v>17</v>
      </c>
      <c r="F36" s="12">
        <v>10695073522</v>
      </c>
      <c r="G36" s="14" t="s">
        <v>7</v>
      </c>
      <c r="H36" s="14" t="s">
        <v>21</v>
      </c>
      <c r="I36" s="16" t="s">
        <v>58</v>
      </c>
      <c r="J36" s="14" t="str">
        <f t="shared" ca="1" si="0"/>
        <v>Yes</v>
      </c>
    </row>
    <row r="37" spans="1:10" x14ac:dyDescent="0.35">
      <c r="A37" s="12">
        <f t="shared" si="1"/>
        <v>2</v>
      </c>
      <c r="B37" s="12" t="str">
        <f t="shared" si="2"/>
        <v>Jan2025</v>
      </c>
      <c r="C37" s="12" t="str">
        <f t="shared" si="3"/>
        <v>Friday</v>
      </c>
      <c r="D37" s="13">
        <v>45667</v>
      </c>
      <c r="E37" s="14">
        <v>18</v>
      </c>
      <c r="F37" s="12">
        <v>10695859252</v>
      </c>
      <c r="G37" s="14" t="s">
        <v>4</v>
      </c>
      <c r="H37" s="14" t="s">
        <v>11</v>
      </c>
      <c r="I37" s="16" t="s">
        <v>92</v>
      </c>
      <c r="J37" s="14" t="str">
        <f t="shared" ca="1" si="0"/>
        <v>No</v>
      </c>
    </row>
    <row r="38" spans="1:10" x14ac:dyDescent="0.35">
      <c r="A38" s="12">
        <f t="shared" si="1"/>
        <v>2</v>
      </c>
      <c r="B38" s="12" t="str">
        <f t="shared" si="2"/>
        <v>Jan2025</v>
      </c>
      <c r="C38" s="12" t="str">
        <f t="shared" si="3"/>
        <v>Friday</v>
      </c>
      <c r="D38" s="13">
        <v>45667</v>
      </c>
      <c r="E38" s="14">
        <v>19</v>
      </c>
      <c r="F38" s="12">
        <v>10679782222</v>
      </c>
      <c r="G38" s="14" t="s">
        <v>5</v>
      </c>
      <c r="H38" s="14" t="s">
        <v>21</v>
      </c>
      <c r="I38" s="16" t="s">
        <v>46</v>
      </c>
      <c r="J38" s="14" t="str">
        <f t="shared" ca="1" si="0"/>
        <v>No</v>
      </c>
    </row>
    <row r="39" spans="1:10" x14ac:dyDescent="0.35">
      <c r="A39" s="12">
        <f t="shared" si="1"/>
        <v>2</v>
      </c>
      <c r="B39" s="12" t="str">
        <f t="shared" si="2"/>
        <v>Jan2025</v>
      </c>
      <c r="C39" s="12" t="str">
        <f t="shared" si="3"/>
        <v>Friday</v>
      </c>
      <c r="D39" s="13">
        <v>45667</v>
      </c>
      <c r="E39" s="14">
        <v>20</v>
      </c>
      <c r="F39" s="12">
        <v>10695986372</v>
      </c>
      <c r="G39" s="14" t="s">
        <v>5</v>
      </c>
      <c r="H39" s="14" t="s">
        <v>61</v>
      </c>
      <c r="I39" s="16" t="s">
        <v>16</v>
      </c>
      <c r="J39" s="14" t="str">
        <f t="shared" ca="1" si="0"/>
        <v>No</v>
      </c>
    </row>
    <row r="40" spans="1:10" x14ac:dyDescent="0.35">
      <c r="A40" s="12">
        <f t="shared" si="1"/>
        <v>2</v>
      </c>
      <c r="B40" s="12" t="str">
        <f t="shared" si="2"/>
        <v>Jan2025</v>
      </c>
      <c r="C40" s="12" t="str">
        <f t="shared" si="3"/>
        <v>Friday</v>
      </c>
      <c r="D40" s="13">
        <v>45667</v>
      </c>
      <c r="E40" s="14">
        <v>21</v>
      </c>
      <c r="F40" s="12">
        <v>10673689682</v>
      </c>
      <c r="G40" s="14" t="s">
        <v>4</v>
      </c>
      <c r="H40" s="14" t="s">
        <v>21</v>
      </c>
      <c r="I40" s="16" t="s">
        <v>24</v>
      </c>
      <c r="J40" s="14" t="str">
        <f t="shared" ca="1" si="0"/>
        <v>No</v>
      </c>
    </row>
    <row r="41" spans="1:10" x14ac:dyDescent="0.35">
      <c r="A41" s="12">
        <f t="shared" si="1"/>
        <v>2</v>
      </c>
      <c r="B41" s="12" t="str">
        <f t="shared" si="2"/>
        <v>Jan2025</v>
      </c>
      <c r="C41" s="12" t="str">
        <f t="shared" si="3"/>
        <v>Saturday</v>
      </c>
      <c r="D41" s="13">
        <v>45668</v>
      </c>
      <c r="E41" s="14">
        <v>1</v>
      </c>
      <c r="F41" s="12">
        <v>10690833742</v>
      </c>
      <c r="G41" s="14" t="s">
        <v>5</v>
      </c>
      <c r="H41" s="14" t="s">
        <v>21</v>
      </c>
      <c r="I41" s="16" t="s">
        <v>51</v>
      </c>
      <c r="J41" s="14" t="str">
        <f t="shared" ca="1" si="0"/>
        <v>No</v>
      </c>
    </row>
    <row r="42" spans="1:10" x14ac:dyDescent="0.35">
      <c r="A42" s="12">
        <f t="shared" si="1"/>
        <v>2</v>
      </c>
      <c r="B42" s="12" t="str">
        <f t="shared" si="2"/>
        <v>Jan2025</v>
      </c>
      <c r="C42" s="12" t="str">
        <f t="shared" si="3"/>
        <v>Saturday</v>
      </c>
      <c r="D42" s="13">
        <v>45668</v>
      </c>
      <c r="E42" s="14">
        <v>2</v>
      </c>
      <c r="F42" s="12">
        <v>10697433712</v>
      </c>
      <c r="G42" s="14" t="s">
        <v>7</v>
      </c>
      <c r="H42" s="14" t="s">
        <v>21</v>
      </c>
      <c r="I42" s="16" t="s">
        <v>11</v>
      </c>
      <c r="J42" s="14" t="str">
        <f t="shared" ca="1" si="0"/>
        <v>Yes</v>
      </c>
    </row>
    <row r="43" spans="1:10" x14ac:dyDescent="0.35">
      <c r="A43" s="12">
        <f t="shared" si="1"/>
        <v>2</v>
      </c>
      <c r="B43" s="12" t="str">
        <f t="shared" si="2"/>
        <v>Jan2025</v>
      </c>
      <c r="C43" s="12" t="str">
        <f t="shared" si="3"/>
        <v>Saturday</v>
      </c>
      <c r="D43" s="13">
        <v>45668</v>
      </c>
      <c r="E43" s="14">
        <v>3</v>
      </c>
      <c r="F43" s="12">
        <v>10690819112</v>
      </c>
      <c r="G43" s="14" t="s">
        <v>5</v>
      </c>
      <c r="H43" s="14" t="s">
        <v>21</v>
      </c>
      <c r="I43" s="16" t="s">
        <v>51</v>
      </c>
      <c r="J43" s="14" t="str">
        <f t="shared" ca="1" si="0"/>
        <v>No</v>
      </c>
    </row>
    <row r="44" spans="1:10" x14ac:dyDescent="0.35">
      <c r="A44" s="12">
        <f t="shared" si="1"/>
        <v>2</v>
      </c>
      <c r="B44" s="12" t="str">
        <f t="shared" si="2"/>
        <v>Jan2025</v>
      </c>
      <c r="C44" s="12" t="str">
        <f t="shared" si="3"/>
        <v>Saturday</v>
      </c>
      <c r="D44" s="13">
        <v>45668</v>
      </c>
      <c r="E44" s="14">
        <v>4</v>
      </c>
      <c r="F44" s="12">
        <v>10689565572</v>
      </c>
      <c r="G44" s="14" t="s">
        <v>4</v>
      </c>
      <c r="H44" s="14" t="s">
        <v>21</v>
      </c>
      <c r="I44" s="16" t="s">
        <v>31</v>
      </c>
      <c r="J44" s="14" t="str">
        <f t="shared" ca="1" si="0"/>
        <v>No</v>
      </c>
    </row>
    <row r="45" spans="1:10" x14ac:dyDescent="0.35">
      <c r="A45" s="12">
        <f t="shared" si="1"/>
        <v>2</v>
      </c>
      <c r="B45" s="12" t="str">
        <f t="shared" si="2"/>
        <v>Jan2025</v>
      </c>
      <c r="C45" s="12" t="str">
        <f t="shared" si="3"/>
        <v>Saturday</v>
      </c>
      <c r="D45" s="13">
        <v>45668</v>
      </c>
      <c r="E45" s="14">
        <v>5</v>
      </c>
      <c r="F45" s="12">
        <v>10697619642</v>
      </c>
      <c r="G45" s="14" t="s">
        <v>4</v>
      </c>
      <c r="H45" s="14" t="s">
        <v>61</v>
      </c>
      <c r="I45" s="16" t="s">
        <v>88</v>
      </c>
      <c r="J45" s="14" t="str">
        <f t="shared" ca="1" si="0"/>
        <v>No</v>
      </c>
    </row>
    <row r="46" spans="1:10" x14ac:dyDescent="0.35">
      <c r="A46" s="12">
        <f t="shared" si="1"/>
        <v>2</v>
      </c>
      <c r="B46" s="12" t="str">
        <f t="shared" si="2"/>
        <v>Jan2025</v>
      </c>
      <c r="C46" s="12" t="str">
        <f t="shared" si="3"/>
        <v>Saturday</v>
      </c>
      <c r="D46" s="13">
        <v>45668</v>
      </c>
      <c r="E46" s="14">
        <v>6</v>
      </c>
      <c r="F46" s="12">
        <v>10689214202</v>
      </c>
      <c r="G46" s="14" t="s">
        <v>4</v>
      </c>
      <c r="H46" s="14" t="s">
        <v>21</v>
      </c>
      <c r="I46" s="16" t="s">
        <v>24</v>
      </c>
      <c r="J46" s="14" t="str">
        <f t="shared" ca="1" si="0"/>
        <v>Yes</v>
      </c>
    </row>
    <row r="47" spans="1:10" x14ac:dyDescent="0.35">
      <c r="A47" s="12">
        <f t="shared" si="1"/>
        <v>2</v>
      </c>
      <c r="B47" s="12" t="str">
        <f t="shared" si="2"/>
        <v>Jan2025</v>
      </c>
      <c r="C47" s="12" t="str">
        <f t="shared" si="3"/>
        <v>Saturday</v>
      </c>
      <c r="D47" s="13">
        <v>45668</v>
      </c>
      <c r="E47" s="14">
        <v>7</v>
      </c>
      <c r="F47" s="12">
        <v>10684847642</v>
      </c>
      <c r="G47" s="14" t="s">
        <v>3</v>
      </c>
      <c r="H47" s="14" t="s">
        <v>21</v>
      </c>
      <c r="I47" s="16" t="s">
        <v>16</v>
      </c>
      <c r="J47" s="14" t="str">
        <f t="shared" ca="1" si="0"/>
        <v>No</v>
      </c>
    </row>
    <row r="48" spans="1:10" x14ac:dyDescent="0.35">
      <c r="A48" s="12">
        <f t="shared" si="1"/>
        <v>2</v>
      </c>
      <c r="B48" s="12" t="str">
        <f t="shared" si="2"/>
        <v>Jan2025</v>
      </c>
      <c r="C48" s="12" t="str">
        <f t="shared" si="3"/>
        <v>Saturday</v>
      </c>
      <c r="D48" s="13">
        <v>45668</v>
      </c>
      <c r="E48" s="14">
        <v>8</v>
      </c>
      <c r="F48" s="12">
        <v>10665548452</v>
      </c>
      <c r="G48" s="14" t="s">
        <v>4</v>
      </c>
      <c r="H48" s="14" t="s">
        <v>21</v>
      </c>
      <c r="I48" s="16" t="s">
        <v>24</v>
      </c>
      <c r="J48" s="14" t="str">
        <f t="shared" ca="1" si="0"/>
        <v>No</v>
      </c>
    </row>
    <row r="49" spans="1:10" x14ac:dyDescent="0.35">
      <c r="A49" s="12">
        <f t="shared" si="1"/>
        <v>2</v>
      </c>
      <c r="B49" s="12" t="str">
        <f t="shared" si="2"/>
        <v>Jan2025</v>
      </c>
      <c r="C49" s="12" t="str">
        <f t="shared" si="3"/>
        <v>Saturday</v>
      </c>
      <c r="D49" s="13">
        <v>45668</v>
      </c>
      <c r="E49" s="14">
        <v>9</v>
      </c>
      <c r="F49" s="12">
        <v>10697992412</v>
      </c>
      <c r="G49" s="14" t="s">
        <v>4</v>
      </c>
      <c r="H49" s="14" t="s">
        <v>11</v>
      </c>
      <c r="I49" s="16" t="s">
        <v>32</v>
      </c>
      <c r="J49" s="14" t="str">
        <f t="shared" ca="1" si="0"/>
        <v>No</v>
      </c>
    </row>
    <row r="50" spans="1:10" x14ac:dyDescent="0.35">
      <c r="A50" s="12">
        <f t="shared" si="1"/>
        <v>2</v>
      </c>
      <c r="B50" s="12" t="str">
        <f t="shared" si="2"/>
        <v>Jan2025</v>
      </c>
      <c r="C50" s="12" t="str">
        <f t="shared" si="3"/>
        <v>Saturday</v>
      </c>
      <c r="D50" s="13">
        <v>45668</v>
      </c>
      <c r="E50" s="14">
        <v>10</v>
      </c>
      <c r="F50" s="12">
        <v>10681415982</v>
      </c>
      <c r="G50" s="14" t="s">
        <v>5</v>
      </c>
      <c r="H50" s="14" t="s">
        <v>61</v>
      </c>
      <c r="I50" s="16" t="s">
        <v>103</v>
      </c>
      <c r="J50" s="14" t="str">
        <f t="shared" ca="1" si="0"/>
        <v>Yes</v>
      </c>
    </row>
    <row r="51" spans="1:10" x14ac:dyDescent="0.35">
      <c r="A51" s="12">
        <f t="shared" si="1"/>
        <v>2</v>
      </c>
      <c r="B51" s="12" t="str">
        <f t="shared" si="2"/>
        <v>Jan2025</v>
      </c>
      <c r="C51" s="12" t="str">
        <f t="shared" si="3"/>
        <v>Saturday</v>
      </c>
      <c r="D51" s="13">
        <v>45668</v>
      </c>
      <c r="E51" s="14">
        <v>11</v>
      </c>
      <c r="F51" s="12">
        <v>10697903192</v>
      </c>
      <c r="G51" s="14" t="s">
        <v>3</v>
      </c>
      <c r="H51" s="14" t="s">
        <v>61</v>
      </c>
      <c r="I51" s="16" t="s">
        <v>16</v>
      </c>
      <c r="J51" s="14" t="str">
        <f t="shared" ca="1" si="0"/>
        <v>No</v>
      </c>
    </row>
    <row r="52" spans="1:10" x14ac:dyDescent="0.35">
      <c r="A52" s="12">
        <f t="shared" si="1"/>
        <v>2</v>
      </c>
      <c r="B52" s="12" t="str">
        <f t="shared" si="2"/>
        <v>Jan2025</v>
      </c>
      <c r="C52" s="12" t="str">
        <f t="shared" si="3"/>
        <v>Saturday</v>
      </c>
      <c r="D52" s="13">
        <v>45668</v>
      </c>
      <c r="E52" s="14">
        <v>12</v>
      </c>
      <c r="F52" s="12">
        <v>10697983582</v>
      </c>
      <c r="G52" s="14" t="s">
        <v>3</v>
      </c>
      <c r="H52" s="14" t="s">
        <v>61</v>
      </c>
      <c r="I52" s="16" t="s">
        <v>16</v>
      </c>
      <c r="J52" s="14" t="str">
        <f t="shared" ca="1" si="0"/>
        <v>No</v>
      </c>
    </row>
    <row r="53" spans="1:10" x14ac:dyDescent="0.35">
      <c r="A53" s="12">
        <f t="shared" si="1"/>
        <v>2</v>
      </c>
      <c r="B53" s="12" t="str">
        <f t="shared" si="2"/>
        <v>Jan2025</v>
      </c>
      <c r="C53" s="12" t="str">
        <f t="shared" si="3"/>
        <v>Saturday</v>
      </c>
      <c r="D53" s="13">
        <v>45668</v>
      </c>
      <c r="E53" s="14">
        <v>13</v>
      </c>
      <c r="F53" s="12">
        <v>10698554102</v>
      </c>
      <c r="G53" s="14" t="s">
        <v>4</v>
      </c>
      <c r="H53" s="14" t="s">
        <v>61</v>
      </c>
      <c r="I53" s="16" t="s">
        <v>136</v>
      </c>
      <c r="J53" s="14" t="str">
        <f t="shared" ca="1" si="0"/>
        <v>No</v>
      </c>
    </row>
    <row r="54" spans="1:10" x14ac:dyDescent="0.35">
      <c r="A54" s="12">
        <f t="shared" si="1"/>
        <v>2</v>
      </c>
      <c r="B54" s="12" t="str">
        <f t="shared" si="2"/>
        <v>Jan2025</v>
      </c>
      <c r="C54" s="12" t="str">
        <f t="shared" si="3"/>
        <v>Saturday</v>
      </c>
      <c r="D54" s="13">
        <v>45668</v>
      </c>
      <c r="E54" s="14">
        <v>14</v>
      </c>
      <c r="F54" s="12">
        <v>10681553422</v>
      </c>
      <c r="G54" s="14" t="s">
        <v>4</v>
      </c>
      <c r="H54" s="14" t="s">
        <v>11</v>
      </c>
      <c r="I54" s="16" t="s">
        <v>32</v>
      </c>
      <c r="J54" s="14" t="str">
        <f t="shared" ca="1" si="0"/>
        <v>No</v>
      </c>
    </row>
    <row r="55" spans="1:10" x14ac:dyDescent="0.35">
      <c r="A55" s="12">
        <f t="shared" si="1"/>
        <v>2</v>
      </c>
      <c r="B55" s="12" t="str">
        <f t="shared" si="2"/>
        <v>Jan2025</v>
      </c>
      <c r="C55" s="12" t="str">
        <f t="shared" si="3"/>
        <v>Saturday</v>
      </c>
      <c r="D55" s="13">
        <v>45668</v>
      </c>
      <c r="E55" s="14">
        <v>15</v>
      </c>
      <c r="F55" s="12">
        <v>10698558912</v>
      </c>
      <c r="G55" s="14" t="s">
        <v>4</v>
      </c>
      <c r="H55" s="14" t="s">
        <v>61</v>
      </c>
      <c r="I55" s="16" t="s">
        <v>137</v>
      </c>
      <c r="J55" s="14" t="str">
        <f t="shared" ca="1" si="0"/>
        <v>No</v>
      </c>
    </row>
    <row r="56" spans="1:10" x14ac:dyDescent="0.35">
      <c r="A56" s="12">
        <f t="shared" si="1"/>
        <v>2</v>
      </c>
      <c r="B56" s="12" t="str">
        <f t="shared" si="2"/>
        <v>Jan2025</v>
      </c>
      <c r="C56" s="12" t="str">
        <f t="shared" si="3"/>
        <v>Saturday</v>
      </c>
      <c r="D56" s="13">
        <v>45668</v>
      </c>
      <c r="E56" s="14">
        <v>16</v>
      </c>
      <c r="F56" s="12">
        <v>10698198092</v>
      </c>
      <c r="G56" s="14" t="s">
        <v>3</v>
      </c>
      <c r="H56" s="14" t="s">
        <v>61</v>
      </c>
      <c r="I56" s="16" t="s">
        <v>34</v>
      </c>
      <c r="J56" s="14" t="str">
        <f t="shared" ca="1" si="0"/>
        <v>Yes</v>
      </c>
    </row>
    <row r="57" spans="1:10" x14ac:dyDescent="0.35">
      <c r="A57" s="12">
        <f t="shared" si="1"/>
        <v>2</v>
      </c>
      <c r="B57" s="12" t="str">
        <f t="shared" si="2"/>
        <v>Jan2025</v>
      </c>
      <c r="C57" s="12" t="str">
        <f t="shared" si="3"/>
        <v>Saturday</v>
      </c>
      <c r="D57" s="13">
        <v>45668</v>
      </c>
      <c r="E57" s="14">
        <v>17</v>
      </c>
      <c r="F57" s="12">
        <v>10697983582</v>
      </c>
      <c r="G57" s="14" t="s">
        <v>4</v>
      </c>
      <c r="H57" s="14" t="s">
        <v>61</v>
      </c>
      <c r="I57" s="16" t="s">
        <v>52</v>
      </c>
      <c r="J57" s="14" t="str">
        <f t="shared" ca="1" si="0"/>
        <v>No</v>
      </c>
    </row>
    <row r="58" spans="1:10" x14ac:dyDescent="0.35">
      <c r="A58" s="12">
        <f t="shared" si="1"/>
        <v>2</v>
      </c>
      <c r="B58" s="12" t="str">
        <f t="shared" si="2"/>
        <v>Jan2025</v>
      </c>
      <c r="C58" s="12" t="str">
        <f t="shared" si="3"/>
        <v>Saturday</v>
      </c>
      <c r="D58" s="13">
        <v>45668</v>
      </c>
      <c r="E58" s="14">
        <v>18</v>
      </c>
      <c r="F58" s="12">
        <v>10684829752</v>
      </c>
      <c r="G58" s="14" t="s">
        <v>5</v>
      </c>
      <c r="H58" s="14" t="s">
        <v>21</v>
      </c>
      <c r="I58" s="16" t="s">
        <v>51</v>
      </c>
      <c r="J58" s="14" t="str">
        <f t="shared" ca="1" si="0"/>
        <v>No</v>
      </c>
    </row>
    <row r="59" spans="1:10" x14ac:dyDescent="0.35">
      <c r="A59" s="12">
        <f t="shared" si="1"/>
        <v>2</v>
      </c>
      <c r="B59" s="12" t="str">
        <f t="shared" si="2"/>
        <v>Jan2025</v>
      </c>
      <c r="C59" s="12" t="str">
        <f t="shared" si="3"/>
        <v>Saturday</v>
      </c>
      <c r="D59" s="13">
        <v>45668</v>
      </c>
      <c r="E59" s="14">
        <v>19</v>
      </c>
      <c r="F59" s="12">
        <v>10698869712</v>
      </c>
      <c r="G59" s="14" t="s">
        <v>4</v>
      </c>
      <c r="H59" s="14" t="s">
        <v>61</v>
      </c>
      <c r="I59" s="16" t="s">
        <v>71</v>
      </c>
      <c r="J59" s="14" t="str">
        <f t="shared" ca="1" si="0"/>
        <v>No</v>
      </c>
    </row>
    <row r="60" spans="1:10" x14ac:dyDescent="0.35">
      <c r="A60" s="12">
        <f t="shared" si="1"/>
        <v>2</v>
      </c>
      <c r="B60" s="12" t="str">
        <f t="shared" si="2"/>
        <v>Jan2025</v>
      </c>
      <c r="C60" s="12" t="str">
        <f t="shared" si="3"/>
        <v>Saturday</v>
      </c>
      <c r="D60" s="13">
        <v>45668</v>
      </c>
      <c r="E60" s="14">
        <v>20</v>
      </c>
      <c r="F60" s="12">
        <v>10632720982</v>
      </c>
      <c r="G60" s="14" t="s">
        <v>3</v>
      </c>
      <c r="H60" s="14" t="s">
        <v>11</v>
      </c>
      <c r="I60" s="16" t="s">
        <v>34</v>
      </c>
      <c r="J60" s="14" t="str">
        <f t="shared" ca="1" si="0"/>
        <v>No</v>
      </c>
    </row>
    <row r="61" spans="1:10" x14ac:dyDescent="0.35">
      <c r="A61" s="12">
        <f t="shared" si="1"/>
        <v>3</v>
      </c>
      <c r="B61" s="12" t="str">
        <f t="shared" si="2"/>
        <v>Jan2025</v>
      </c>
      <c r="C61" s="12" t="str">
        <f t="shared" si="3"/>
        <v>Sunday</v>
      </c>
      <c r="D61" s="13">
        <v>45669</v>
      </c>
      <c r="E61" s="14">
        <v>1</v>
      </c>
      <c r="F61" s="12">
        <v>10692355072</v>
      </c>
      <c r="G61" s="14" t="s">
        <v>3</v>
      </c>
      <c r="H61" s="14" t="s">
        <v>21</v>
      </c>
      <c r="I61" s="16" t="s">
        <v>16</v>
      </c>
      <c r="J61" s="14" t="str">
        <f t="shared" ca="1" si="0"/>
        <v>Yes</v>
      </c>
    </row>
    <row r="62" spans="1:10" x14ac:dyDescent="0.35">
      <c r="A62" s="12">
        <f t="shared" si="1"/>
        <v>3</v>
      </c>
      <c r="B62" s="12" t="str">
        <f t="shared" si="2"/>
        <v>Jan2025</v>
      </c>
      <c r="C62" s="12" t="str">
        <f t="shared" si="3"/>
        <v>Sunday</v>
      </c>
      <c r="D62" s="13">
        <v>45669</v>
      </c>
      <c r="E62" s="14">
        <v>2</v>
      </c>
      <c r="F62" s="12">
        <v>10692634822</v>
      </c>
      <c r="G62" s="14" t="s">
        <v>5</v>
      </c>
      <c r="H62" s="14" t="s">
        <v>21</v>
      </c>
      <c r="I62" s="16" t="s">
        <v>51</v>
      </c>
      <c r="J62" s="14" t="str">
        <f t="shared" ca="1" si="0"/>
        <v>No</v>
      </c>
    </row>
    <row r="63" spans="1:10" x14ac:dyDescent="0.35">
      <c r="A63" s="12">
        <f t="shared" si="1"/>
        <v>3</v>
      </c>
      <c r="B63" s="12" t="str">
        <f t="shared" si="2"/>
        <v>Jan2025</v>
      </c>
      <c r="C63" s="12" t="str">
        <f t="shared" si="3"/>
        <v>Sunday</v>
      </c>
      <c r="D63" s="13">
        <v>45669</v>
      </c>
      <c r="E63" s="14">
        <v>3</v>
      </c>
      <c r="F63" s="12">
        <v>10693255412</v>
      </c>
      <c r="G63" s="14" t="s">
        <v>4</v>
      </c>
      <c r="H63" s="14" t="s">
        <v>21</v>
      </c>
      <c r="I63" s="16" t="s">
        <v>24</v>
      </c>
      <c r="J63" s="14" t="str">
        <f t="shared" ca="1" si="0"/>
        <v>No</v>
      </c>
    </row>
    <row r="64" spans="1:10" x14ac:dyDescent="0.35">
      <c r="A64" s="12">
        <f t="shared" si="1"/>
        <v>3</v>
      </c>
      <c r="B64" s="12" t="str">
        <f t="shared" si="2"/>
        <v>Jan2025</v>
      </c>
      <c r="C64" s="12" t="str">
        <f t="shared" si="3"/>
        <v>Sunday</v>
      </c>
      <c r="D64" s="13">
        <v>45669</v>
      </c>
      <c r="E64" s="14">
        <v>4</v>
      </c>
      <c r="F64" s="12">
        <v>10694732472</v>
      </c>
      <c r="G64" s="14" t="s">
        <v>4</v>
      </c>
      <c r="H64" s="14" t="s">
        <v>21</v>
      </c>
      <c r="I64" s="16" t="s">
        <v>64</v>
      </c>
      <c r="J64" s="14" t="str">
        <f t="shared" ca="1" si="0"/>
        <v>No</v>
      </c>
    </row>
    <row r="65" spans="1:10" x14ac:dyDescent="0.35">
      <c r="A65" s="12">
        <f t="shared" si="1"/>
        <v>3</v>
      </c>
      <c r="B65" s="12" t="str">
        <f t="shared" si="2"/>
        <v>Jan2025</v>
      </c>
      <c r="C65" s="12" t="str">
        <f t="shared" si="3"/>
        <v>Sunday</v>
      </c>
      <c r="D65" s="13">
        <v>45669</v>
      </c>
      <c r="E65" s="14">
        <v>5</v>
      </c>
      <c r="F65" s="12">
        <v>10690631522</v>
      </c>
      <c r="G65" s="14" t="s">
        <v>5</v>
      </c>
      <c r="H65" s="14" t="s">
        <v>21</v>
      </c>
      <c r="I65" s="16" t="s">
        <v>35</v>
      </c>
      <c r="J65" s="14" t="str">
        <f t="shared" ca="1" si="0"/>
        <v>No</v>
      </c>
    </row>
    <row r="66" spans="1:10" x14ac:dyDescent="0.35">
      <c r="A66" s="12">
        <f t="shared" si="1"/>
        <v>3</v>
      </c>
      <c r="B66" s="12" t="str">
        <f t="shared" si="2"/>
        <v>Jan2025</v>
      </c>
      <c r="C66" s="12" t="str">
        <f t="shared" si="3"/>
        <v>Sunday</v>
      </c>
      <c r="D66" s="13">
        <v>45669</v>
      </c>
      <c r="E66" s="14">
        <v>6</v>
      </c>
      <c r="F66" s="12">
        <v>10683478002</v>
      </c>
      <c r="G66" s="14" t="s">
        <v>5</v>
      </c>
      <c r="H66" s="14" t="s">
        <v>21</v>
      </c>
      <c r="I66" s="16" t="s">
        <v>36</v>
      </c>
      <c r="J66" s="14" t="str">
        <f t="shared" ref="J66:J129" ca="1" si="4">IF(RAND()&lt;0.2,"Yes","No")</f>
        <v>No</v>
      </c>
    </row>
    <row r="67" spans="1:10" x14ac:dyDescent="0.35">
      <c r="A67" s="12">
        <f t="shared" ref="A67:A130" si="5">WEEKNUM(D67)</f>
        <v>3</v>
      </c>
      <c r="B67" s="12" t="str">
        <f t="shared" ref="B67:B130" si="6">TEXT(D67,"MMMYYYY")</f>
        <v>Jan2025</v>
      </c>
      <c r="C67" s="12" t="str">
        <f t="shared" ref="C67:C130" si="7">TEXT(D67,"dddd")</f>
        <v>Sunday</v>
      </c>
      <c r="D67" s="13">
        <v>45669</v>
      </c>
      <c r="E67" s="14">
        <v>7</v>
      </c>
      <c r="F67" s="12">
        <v>10693130582</v>
      </c>
      <c r="G67" s="14" t="s">
        <v>4</v>
      </c>
      <c r="H67" s="14" t="s">
        <v>21</v>
      </c>
      <c r="I67" s="16" t="s">
        <v>24</v>
      </c>
      <c r="J67" s="14" t="str">
        <f t="shared" ca="1" si="4"/>
        <v>Yes</v>
      </c>
    </row>
    <row r="68" spans="1:10" x14ac:dyDescent="0.35">
      <c r="A68" s="12">
        <f t="shared" si="5"/>
        <v>3</v>
      </c>
      <c r="B68" s="12" t="str">
        <f t="shared" si="6"/>
        <v>Jan2025</v>
      </c>
      <c r="C68" s="12" t="str">
        <f t="shared" si="7"/>
        <v>Sunday</v>
      </c>
      <c r="D68" s="13">
        <v>45669</v>
      </c>
      <c r="E68" s="14">
        <v>8</v>
      </c>
      <c r="F68" s="12">
        <v>10693890132</v>
      </c>
      <c r="G68" s="14" t="s">
        <v>4</v>
      </c>
      <c r="H68" s="14" t="s">
        <v>11</v>
      </c>
      <c r="I68" s="16" t="s">
        <v>64</v>
      </c>
      <c r="J68" s="14" t="str">
        <f t="shared" ca="1" si="4"/>
        <v>No</v>
      </c>
    </row>
    <row r="69" spans="1:10" x14ac:dyDescent="0.35">
      <c r="A69" s="12">
        <f t="shared" si="5"/>
        <v>3</v>
      </c>
      <c r="B69" s="12" t="str">
        <f t="shared" si="6"/>
        <v>Jan2025</v>
      </c>
      <c r="C69" s="12" t="str">
        <f t="shared" si="7"/>
        <v>Sunday</v>
      </c>
      <c r="D69" s="13">
        <v>45669</v>
      </c>
      <c r="E69" s="14">
        <v>9</v>
      </c>
      <c r="F69" s="12">
        <v>10699065612</v>
      </c>
      <c r="G69" s="14" t="s">
        <v>3</v>
      </c>
      <c r="H69" s="14" t="s">
        <v>11</v>
      </c>
      <c r="I69" s="16" t="s">
        <v>59</v>
      </c>
      <c r="J69" s="14" t="str">
        <f t="shared" ca="1" si="4"/>
        <v>Yes</v>
      </c>
    </row>
    <row r="70" spans="1:10" x14ac:dyDescent="0.35">
      <c r="A70" s="12">
        <f t="shared" si="5"/>
        <v>3</v>
      </c>
      <c r="B70" s="12" t="str">
        <f t="shared" si="6"/>
        <v>Jan2025</v>
      </c>
      <c r="C70" s="12" t="str">
        <f t="shared" si="7"/>
        <v>Sunday</v>
      </c>
      <c r="D70" s="13">
        <v>45669</v>
      </c>
      <c r="E70" s="14">
        <v>10</v>
      </c>
      <c r="F70" s="12">
        <v>10682112762</v>
      </c>
      <c r="G70" s="14" t="s">
        <v>4</v>
      </c>
      <c r="H70" s="14" t="s">
        <v>11</v>
      </c>
      <c r="I70" s="16" t="s">
        <v>13</v>
      </c>
      <c r="J70" s="14" t="str">
        <f t="shared" ca="1" si="4"/>
        <v>No</v>
      </c>
    </row>
    <row r="71" spans="1:10" x14ac:dyDescent="0.35">
      <c r="A71" s="12">
        <f t="shared" si="5"/>
        <v>3</v>
      </c>
      <c r="B71" s="12" t="str">
        <f t="shared" si="6"/>
        <v>Jan2025</v>
      </c>
      <c r="C71" s="12" t="str">
        <f t="shared" si="7"/>
        <v>Sunday</v>
      </c>
      <c r="D71" s="13">
        <v>45669</v>
      </c>
      <c r="E71" s="14">
        <v>11</v>
      </c>
      <c r="F71" s="12">
        <v>10699946072</v>
      </c>
      <c r="G71" s="14" t="s">
        <v>4</v>
      </c>
      <c r="H71" s="14" t="s">
        <v>11</v>
      </c>
      <c r="I71" s="16" t="s">
        <v>138</v>
      </c>
      <c r="J71" s="14" t="str">
        <f t="shared" ca="1" si="4"/>
        <v>No</v>
      </c>
    </row>
    <row r="72" spans="1:10" x14ac:dyDescent="0.35">
      <c r="A72" s="12">
        <f t="shared" si="5"/>
        <v>3</v>
      </c>
      <c r="B72" s="12" t="str">
        <f t="shared" si="6"/>
        <v>Jan2025</v>
      </c>
      <c r="C72" s="12" t="str">
        <f t="shared" si="7"/>
        <v>Sunday</v>
      </c>
      <c r="D72" s="13">
        <v>45669</v>
      </c>
      <c r="E72" s="14">
        <v>12</v>
      </c>
      <c r="F72" s="12">
        <v>10699979222</v>
      </c>
      <c r="G72" s="14" t="s">
        <v>4</v>
      </c>
      <c r="H72" s="14" t="s">
        <v>61</v>
      </c>
      <c r="I72" s="16" t="s">
        <v>45</v>
      </c>
      <c r="J72" s="14" t="str">
        <f t="shared" ca="1" si="4"/>
        <v>No</v>
      </c>
    </row>
    <row r="73" spans="1:10" x14ac:dyDescent="0.35">
      <c r="A73" s="12">
        <f t="shared" si="5"/>
        <v>3</v>
      </c>
      <c r="B73" s="12" t="str">
        <f t="shared" si="6"/>
        <v>Jan2025</v>
      </c>
      <c r="C73" s="12" t="str">
        <f t="shared" si="7"/>
        <v>Sunday</v>
      </c>
      <c r="D73" s="13">
        <v>45669</v>
      </c>
      <c r="E73" s="14">
        <v>13</v>
      </c>
      <c r="F73" s="12">
        <v>10700029662</v>
      </c>
      <c r="G73" s="14" t="s">
        <v>4</v>
      </c>
      <c r="H73" s="14" t="s">
        <v>11</v>
      </c>
      <c r="I73" s="16" t="s">
        <v>19</v>
      </c>
      <c r="J73" s="14" t="str">
        <f t="shared" ca="1" si="4"/>
        <v>No</v>
      </c>
    </row>
    <row r="74" spans="1:10" x14ac:dyDescent="0.35">
      <c r="A74" s="12">
        <f t="shared" si="5"/>
        <v>3</v>
      </c>
      <c r="B74" s="12" t="str">
        <f t="shared" si="6"/>
        <v>Jan2025</v>
      </c>
      <c r="C74" s="12" t="str">
        <f t="shared" si="7"/>
        <v>Sunday</v>
      </c>
      <c r="D74" s="13">
        <v>45669</v>
      </c>
      <c r="E74" s="14">
        <v>14</v>
      </c>
      <c r="F74" s="12">
        <v>10699065612</v>
      </c>
      <c r="G74" s="14" t="s">
        <v>5</v>
      </c>
      <c r="H74" s="14" t="s">
        <v>11</v>
      </c>
      <c r="I74" s="16" t="s">
        <v>59</v>
      </c>
      <c r="J74" s="14" t="str">
        <f t="shared" ca="1" si="4"/>
        <v>No</v>
      </c>
    </row>
    <row r="75" spans="1:10" x14ac:dyDescent="0.35">
      <c r="A75" s="12">
        <f t="shared" si="5"/>
        <v>3</v>
      </c>
      <c r="B75" s="12" t="str">
        <f t="shared" si="6"/>
        <v>Jan2025</v>
      </c>
      <c r="C75" s="12" t="str">
        <f t="shared" si="7"/>
        <v>Sunday</v>
      </c>
      <c r="D75" s="13">
        <v>45669</v>
      </c>
      <c r="E75" s="14">
        <v>15</v>
      </c>
      <c r="F75" s="12">
        <v>10692634822</v>
      </c>
      <c r="G75" s="14" t="s">
        <v>4</v>
      </c>
      <c r="H75" s="14" t="s">
        <v>21</v>
      </c>
      <c r="I75" s="16" t="s">
        <v>64</v>
      </c>
      <c r="J75" s="14" t="str">
        <f t="shared" ca="1" si="4"/>
        <v>No</v>
      </c>
    </row>
    <row r="76" spans="1:10" x14ac:dyDescent="0.35">
      <c r="A76" s="12">
        <f t="shared" si="5"/>
        <v>3</v>
      </c>
      <c r="B76" s="12" t="str">
        <f t="shared" si="6"/>
        <v>Jan2025</v>
      </c>
      <c r="C76" s="12" t="str">
        <f t="shared" si="7"/>
        <v>Monday</v>
      </c>
      <c r="D76" s="13">
        <v>45670</v>
      </c>
      <c r="E76" s="14">
        <v>1</v>
      </c>
      <c r="F76" s="12">
        <v>10700450482</v>
      </c>
      <c r="G76" s="14" t="s">
        <v>4</v>
      </c>
      <c r="H76" s="14" t="s">
        <v>11</v>
      </c>
      <c r="I76" s="16" t="s">
        <v>15</v>
      </c>
      <c r="J76" s="14" t="str">
        <f t="shared" ca="1" si="4"/>
        <v>No</v>
      </c>
    </row>
    <row r="77" spans="1:10" x14ac:dyDescent="0.35">
      <c r="A77" s="12">
        <f t="shared" si="5"/>
        <v>3</v>
      </c>
      <c r="B77" s="12" t="str">
        <f t="shared" si="6"/>
        <v>Jan2025</v>
      </c>
      <c r="C77" s="12" t="str">
        <f t="shared" si="7"/>
        <v>Monday</v>
      </c>
      <c r="D77" s="13">
        <v>45670</v>
      </c>
      <c r="E77" s="14">
        <v>2</v>
      </c>
      <c r="F77" s="12">
        <v>10694523652</v>
      </c>
      <c r="G77" s="14" t="s">
        <v>5</v>
      </c>
      <c r="H77" s="14" t="s">
        <v>21</v>
      </c>
      <c r="I77" s="16" t="s">
        <v>51</v>
      </c>
      <c r="J77" s="14" t="str">
        <f t="shared" ca="1" si="4"/>
        <v>No</v>
      </c>
    </row>
    <row r="78" spans="1:10" x14ac:dyDescent="0.35">
      <c r="A78" s="12">
        <f t="shared" si="5"/>
        <v>3</v>
      </c>
      <c r="B78" s="12" t="str">
        <f t="shared" si="6"/>
        <v>Jan2025</v>
      </c>
      <c r="C78" s="12" t="str">
        <f t="shared" si="7"/>
        <v>Monday</v>
      </c>
      <c r="D78" s="13">
        <v>45670</v>
      </c>
      <c r="E78" s="14">
        <v>3</v>
      </c>
      <c r="F78" s="12">
        <v>10694452952</v>
      </c>
      <c r="G78" s="14" t="s">
        <v>4</v>
      </c>
      <c r="H78" s="14" t="s">
        <v>21</v>
      </c>
      <c r="I78" s="16" t="s">
        <v>121</v>
      </c>
      <c r="J78" s="14" t="str">
        <f t="shared" ca="1" si="4"/>
        <v>Yes</v>
      </c>
    </row>
    <row r="79" spans="1:10" x14ac:dyDescent="0.35">
      <c r="A79" s="12">
        <f t="shared" si="5"/>
        <v>3</v>
      </c>
      <c r="B79" s="12" t="str">
        <f t="shared" si="6"/>
        <v>Jan2025</v>
      </c>
      <c r="C79" s="12" t="str">
        <f t="shared" si="7"/>
        <v>Monday</v>
      </c>
      <c r="D79" s="13">
        <v>45670</v>
      </c>
      <c r="E79" s="14">
        <v>4</v>
      </c>
      <c r="F79" s="12">
        <v>10700939212</v>
      </c>
      <c r="G79" s="14" t="s">
        <v>4</v>
      </c>
      <c r="H79" s="14" t="s">
        <v>61</v>
      </c>
      <c r="I79" s="16" t="s">
        <v>52</v>
      </c>
      <c r="J79" s="14" t="str">
        <f t="shared" ca="1" si="4"/>
        <v>No</v>
      </c>
    </row>
    <row r="80" spans="1:10" x14ac:dyDescent="0.35">
      <c r="A80" s="12">
        <f t="shared" si="5"/>
        <v>3</v>
      </c>
      <c r="B80" s="12" t="str">
        <f t="shared" si="6"/>
        <v>Jan2025</v>
      </c>
      <c r="C80" s="12" t="str">
        <f t="shared" si="7"/>
        <v>Monday</v>
      </c>
      <c r="D80" s="13">
        <v>45670</v>
      </c>
      <c r="E80" s="14">
        <v>5</v>
      </c>
      <c r="F80" s="12">
        <v>10700957592</v>
      </c>
      <c r="G80" s="14" t="s">
        <v>4</v>
      </c>
      <c r="H80" s="14" t="s">
        <v>61</v>
      </c>
      <c r="I80" s="16" t="s">
        <v>138</v>
      </c>
      <c r="J80" s="14" t="str">
        <f t="shared" ca="1" si="4"/>
        <v>No</v>
      </c>
    </row>
    <row r="81" spans="1:10" x14ac:dyDescent="0.35">
      <c r="A81" s="12">
        <f t="shared" si="5"/>
        <v>3</v>
      </c>
      <c r="B81" s="12" t="str">
        <f t="shared" si="6"/>
        <v>Jan2025</v>
      </c>
      <c r="C81" s="12" t="str">
        <f t="shared" si="7"/>
        <v>Monday</v>
      </c>
      <c r="D81" s="13">
        <v>45670</v>
      </c>
      <c r="E81" s="14">
        <v>6</v>
      </c>
      <c r="F81" s="12">
        <v>10697117212</v>
      </c>
      <c r="G81" s="14" t="s">
        <v>4</v>
      </c>
      <c r="H81" s="14" t="s">
        <v>21</v>
      </c>
      <c r="I81" s="16" t="s">
        <v>33</v>
      </c>
      <c r="J81" s="14" t="str">
        <f t="shared" ca="1" si="4"/>
        <v>No</v>
      </c>
    </row>
    <row r="82" spans="1:10" x14ac:dyDescent="0.35">
      <c r="A82" s="12">
        <f t="shared" si="5"/>
        <v>3</v>
      </c>
      <c r="B82" s="12" t="str">
        <f t="shared" si="6"/>
        <v>Jan2025</v>
      </c>
      <c r="C82" s="12" t="str">
        <f t="shared" si="7"/>
        <v>Monday</v>
      </c>
      <c r="D82" s="13">
        <v>45670</v>
      </c>
      <c r="E82" s="14">
        <v>7</v>
      </c>
      <c r="F82" s="12">
        <v>10697582732</v>
      </c>
      <c r="G82" s="14" t="s">
        <v>4</v>
      </c>
      <c r="H82" s="14" t="s">
        <v>21</v>
      </c>
      <c r="I82" s="16" t="s">
        <v>33</v>
      </c>
      <c r="J82" s="14" t="str">
        <f t="shared" ca="1" si="4"/>
        <v>No</v>
      </c>
    </row>
    <row r="83" spans="1:10" x14ac:dyDescent="0.35">
      <c r="A83" s="12">
        <f t="shared" si="5"/>
        <v>3</v>
      </c>
      <c r="B83" s="12" t="str">
        <f t="shared" si="6"/>
        <v>Jan2025</v>
      </c>
      <c r="C83" s="12" t="str">
        <f t="shared" si="7"/>
        <v>Monday</v>
      </c>
      <c r="D83" s="13">
        <v>45670</v>
      </c>
      <c r="E83" s="14">
        <v>8</v>
      </c>
      <c r="F83" s="12">
        <v>10701209692</v>
      </c>
      <c r="G83" s="14" t="s">
        <v>4</v>
      </c>
      <c r="H83" s="14" t="s">
        <v>61</v>
      </c>
      <c r="I83" s="16" t="s">
        <v>139</v>
      </c>
      <c r="J83" s="14" t="str">
        <f t="shared" ca="1" si="4"/>
        <v>No</v>
      </c>
    </row>
    <row r="84" spans="1:10" x14ac:dyDescent="0.35">
      <c r="A84" s="12">
        <f t="shared" si="5"/>
        <v>3</v>
      </c>
      <c r="B84" s="12" t="str">
        <f t="shared" si="6"/>
        <v>Jan2025</v>
      </c>
      <c r="C84" s="12" t="str">
        <f t="shared" si="7"/>
        <v>Monday</v>
      </c>
      <c r="D84" s="13">
        <v>45670</v>
      </c>
      <c r="E84" s="14">
        <v>9</v>
      </c>
      <c r="F84" s="12">
        <v>10543349372</v>
      </c>
      <c r="G84" s="14" t="s">
        <v>3</v>
      </c>
      <c r="H84" s="14" t="s">
        <v>11</v>
      </c>
      <c r="I84" s="16" t="s">
        <v>16</v>
      </c>
      <c r="J84" s="14" t="str">
        <f t="shared" ca="1" si="4"/>
        <v>No</v>
      </c>
    </row>
    <row r="85" spans="1:10" x14ac:dyDescent="0.35">
      <c r="A85" s="12">
        <f t="shared" si="5"/>
        <v>3</v>
      </c>
      <c r="B85" s="12" t="str">
        <f t="shared" si="6"/>
        <v>Jan2025</v>
      </c>
      <c r="C85" s="12" t="str">
        <f t="shared" si="7"/>
        <v>Monday</v>
      </c>
      <c r="D85" s="13">
        <v>45670</v>
      </c>
      <c r="E85" s="14">
        <v>10</v>
      </c>
      <c r="F85" s="12">
        <v>10700706702</v>
      </c>
      <c r="G85" s="14" t="s">
        <v>4</v>
      </c>
      <c r="H85" s="14" t="s">
        <v>11</v>
      </c>
      <c r="I85" s="16" t="s">
        <v>32</v>
      </c>
      <c r="J85" s="14" t="str">
        <f t="shared" ca="1" si="4"/>
        <v>Yes</v>
      </c>
    </row>
    <row r="86" spans="1:10" x14ac:dyDescent="0.35">
      <c r="A86" s="12">
        <f t="shared" si="5"/>
        <v>3</v>
      </c>
      <c r="B86" s="12" t="str">
        <f t="shared" si="6"/>
        <v>Jan2025</v>
      </c>
      <c r="C86" s="12" t="str">
        <f t="shared" si="7"/>
        <v>Monday</v>
      </c>
      <c r="D86" s="13">
        <v>45670</v>
      </c>
      <c r="E86" s="14">
        <v>11</v>
      </c>
      <c r="F86" s="12">
        <v>10701161422</v>
      </c>
      <c r="G86" s="14" t="s">
        <v>7</v>
      </c>
      <c r="H86" s="14" t="s">
        <v>61</v>
      </c>
      <c r="I86" s="16" t="s">
        <v>140</v>
      </c>
      <c r="J86" s="14" t="str">
        <f t="shared" ca="1" si="4"/>
        <v>No</v>
      </c>
    </row>
    <row r="87" spans="1:10" x14ac:dyDescent="0.35">
      <c r="A87" s="12">
        <f t="shared" si="5"/>
        <v>3</v>
      </c>
      <c r="B87" s="12" t="str">
        <f t="shared" si="6"/>
        <v>Jan2025</v>
      </c>
      <c r="C87" s="12" t="str">
        <f t="shared" si="7"/>
        <v>Monday</v>
      </c>
      <c r="D87" s="13">
        <v>45670</v>
      </c>
      <c r="E87" s="14">
        <v>12</v>
      </c>
      <c r="F87" s="12">
        <v>10700807812</v>
      </c>
      <c r="G87" s="14" t="s">
        <v>3</v>
      </c>
      <c r="H87" s="14" t="s">
        <v>11</v>
      </c>
      <c r="I87" s="16" t="s">
        <v>16</v>
      </c>
      <c r="J87" s="14" t="str">
        <f t="shared" ca="1" si="4"/>
        <v>No</v>
      </c>
    </row>
    <row r="88" spans="1:10" x14ac:dyDescent="0.35">
      <c r="A88" s="12">
        <f t="shared" si="5"/>
        <v>3</v>
      </c>
      <c r="B88" s="12" t="str">
        <f t="shared" si="6"/>
        <v>Jan2025</v>
      </c>
      <c r="C88" s="12" t="str">
        <f t="shared" si="7"/>
        <v>Monday</v>
      </c>
      <c r="D88" s="13">
        <v>45670</v>
      </c>
      <c r="E88" s="14">
        <v>13</v>
      </c>
      <c r="F88" s="12">
        <v>10688552812</v>
      </c>
      <c r="G88" s="14" t="s">
        <v>4</v>
      </c>
      <c r="H88" s="14" t="s">
        <v>11</v>
      </c>
      <c r="I88" s="16" t="s">
        <v>92</v>
      </c>
      <c r="J88" s="14" t="str">
        <f t="shared" ca="1" si="4"/>
        <v>No</v>
      </c>
    </row>
    <row r="89" spans="1:10" x14ac:dyDescent="0.35">
      <c r="A89" s="12">
        <f t="shared" si="5"/>
        <v>3</v>
      </c>
      <c r="B89" s="12" t="str">
        <f t="shared" si="6"/>
        <v>Jan2025</v>
      </c>
      <c r="C89" s="12" t="str">
        <f t="shared" si="7"/>
        <v>Monday</v>
      </c>
      <c r="D89" s="13">
        <v>45670</v>
      </c>
      <c r="E89" s="14">
        <v>14</v>
      </c>
      <c r="F89" s="12">
        <v>10696218362</v>
      </c>
      <c r="G89" s="14" t="s">
        <v>4</v>
      </c>
      <c r="H89" s="14" t="s">
        <v>11</v>
      </c>
      <c r="I89" s="16" t="s">
        <v>100</v>
      </c>
      <c r="J89" s="14" t="str">
        <f t="shared" ca="1" si="4"/>
        <v>No</v>
      </c>
    </row>
    <row r="90" spans="1:10" x14ac:dyDescent="0.35">
      <c r="A90" s="12">
        <f t="shared" si="5"/>
        <v>3</v>
      </c>
      <c r="B90" s="12" t="str">
        <f t="shared" si="6"/>
        <v>Jan2025</v>
      </c>
      <c r="C90" s="12" t="str">
        <f t="shared" si="7"/>
        <v>Monday</v>
      </c>
      <c r="D90" s="13">
        <v>45670</v>
      </c>
      <c r="E90" s="14">
        <v>15</v>
      </c>
      <c r="F90" s="12">
        <v>10701569842</v>
      </c>
      <c r="G90" s="14" t="s">
        <v>4</v>
      </c>
      <c r="H90" s="14" t="s">
        <v>61</v>
      </c>
      <c r="I90" s="16" t="s">
        <v>112</v>
      </c>
      <c r="J90" s="14" t="str">
        <f t="shared" ca="1" si="4"/>
        <v>No</v>
      </c>
    </row>
    <row r="91" spans="1:10" x14ac:dyDescent="0.35">
      <c r="A91" s="12">
        <f t="shared" si="5"/>
        <v>3</v>
      </c>
      <c r="B91" s="12" t="str">
        <f t="shared" si="6"/>
        <v>Jan2025</v>
      </c>
      <c r="C91" s="12" t="str">
        <f t="shared" si="7"/>
        <v>Monday</v>
      </c>
      <c r="D91" s="13">
        <v>45670</v>
      </c>
      <c r="E91" s="14">
        <v>16</v>
      </c>
      <c r="F91" s="12">
        <v>10702251802</v>
      </c>
      <c r="G91" s="14" t="s">
        <v>4</v>
      </c>
      <c r="H91" s="14" t="s">
        <v>11</v>
      </c>
      <c r="I91" s="16" t="s">
        <v>100</v>
      </c>
      <c r="J91" s="14" t="str">
        <f t="shared" ca="1" si="4"/>
        <v>No</v>
      </c>
    </row>
    <row r="92" spans="1:10" x14ac:dyDescent="0.35">
      <c r="A92" s="12">
        <f t="shared" si="5"/>
        <v>3</v>
      </c>
      <c r="B92" s="12" t="str">
        <f t="shared" si="6"/>
        <v>Jan2025</v>
      </c>
      <c r="C92" s="12" t="str">
        <f t="shared" si="7"/>
        <v>Monday</v>
      </c>
      <c r="D92" s="13">
        <v>45670</v>
      </c>
      <c r="E92" s="14">
        <v>17</v>
      </c>
      <c r="F92" s="12">
        <v>10701776952</v>
      </c>
      <c r="G92" s="14" t="s">
        <v>4</v>
      </c>
      <c r="H92" s="14" t="s">
        <v>11</v>
      </c>
      <c r="I92" s="16" t="s">
        <v>19</v>
      </c>
      <c r="J92" s="14" t="str">
        <f t="shared" ca="1" si="4"/>
        <v>No</v>
      </c>
    </row>
    <row r="93" spans="1:10" x14ac:dyDescent="0.35">
      <c r="A93" s="12">
        <f t="shared" si="5"/>
        <v>3</v>
      </c>
      <c r="B93" s="12" t="str">
        <f t="shared" si="6"/>
        <v>Jan2025</v>
      </c>
      <c r="C93" s="12" t="str">
        <f t="shared" si="7"/>
        <v>Monday</v>
      </c>
      <c r="D93" s="13">
        <v>45670</v>
      </c>
      <c r="E93" s="14">
        <v>18</v>
      </c>
      <c r="F93" s="12">
        <v>10702445852</v>
      </c>
      <c r="G93" s="14" t="s">
        <v>10</v>
      </c>
      <c r="H93" s="14" t="s">
        <v>61</v>
      </c>
      <c r="I93" s="16" t="s">
        <v>14</v>
      </c>
      <c r="J93" s="14" t="str">
        <f t="shared" ca="1" si="4"/>
        <v>No</v>
      </c>
    </row>
    <row r="94" spans="1:10" x14ac:dyDescent="0.35">
      <c r="A94" s="12">
        <f t="shared" si="5"/>
        <v>3</v>
      </c>
      <c r="B94" s="12" t="str">
        <f t="shared" si="6"/>
        <v>Jan2025</v>
      </c>
      <c r="C94" s="12" t="str">
        <f t="shared" si="7"/>
        <v>Monday</v>
      </c>
      <c r="D94" s="13">
        <v>45670</v>
      </c>
      <c r="E94" s="14">
        <v>19</v>
      </c>
      <c r="F94" s="12">
        <v>10701054712</v>
      </c>
      <c r="G94" s="14" t="s">
        <v>4</v>
      </c>
      <c r="H94" s="14" t="s">
        <v>21</v>
      </c>
      <c r="I94" s="16" t="s">
        <v>25</v>
      </c>
      <c r="J94" s="14" t="str">
        <f t="shared" ca="1" si="4"/>
        <v>No</v>
      </c>
    </row>
    <row r="95" spans="1:10" x14ac:dyDescent="0.35">
      <c r="A95" s="12">
        <f t="shared" si="5"/>
        <v>3</v>
      </c>
      <c r="B95" s="12" t="str">
        <f t="shared" si="6"/>
        <v>Jan2025</v>
      </c>
      <c r="C95" s="12" t="str">
        <f t="shared" si="7"/>
        <v>Monday</v>
      </c>
      <c r="D95" s="13">
        <v>45670</v>
      </c>
      <c r="E95" s="14">
        <v>21</v>
      </c>
      <c r="F95" s="12">
        <v>10702784802</v>
      </c>
      <c r="G95" s="14" t="s">
        <v>4</v>
      </c>
      <c r="H95" s="14" t="s">
        <v>21</v>
      </c>
      <c r="I95" s="16" t="s">
        <v>12</v>
      </c>
      <c r="J95" s="14" t="str">
        <f t="shared" ca="1" si="4"/>
        <v>No</v>
      </c>
    </row>
    <row r="96" spans="1:10" x14ac:dyDescent="0.35">
      <c r="A96" s="12">
        <f t="shared" si="5"/>
        <v>3</v>
      </c>
      <c r="B96" s="12" t="str">
        <f t="shared" si="6"/>
        <v>Jan2025</v>
      </c>
      <c r="C96" s="12" t="str">
        <f t="shared" si="7"/>
        <v>Thursday</v>
      </c>
      <c r="D96" s="13">
        <v>45673</v>
      </c>
      <c r="E96" s="14">
        <v>1</v>
      </c>
      <c r="F96" s="12">
        <v>10706808982</v>
      </c>
      <c r="G96" s="14" t="s">
        <v>4</v>
      </c>
      <c r="H96" s="14" t="s">
        <v>61</v>
      </c>
      <c r="I96" s="16" t="s">
        <v>141</v>
      </c>
      <c r="J96" s="14" t="str">
        <f t="shared" ca="1" si="4"/>
        <v>No</v>
      </c>
    </row>
    <row r="97" spans="1:10" x14ac:dyDescent="0.35">
      <c r="A97" s="12">
        <f t="shared" si="5"/>
        <v>3</v>
      </c>
      <c r="B97" s="12" t="str">
        <f t="shared" si="6"/>
        <v>Jan2025</v>
      </c>
      <c r="C97" s="12" t="str">
        <f t="shared" si="7"/>
        <v>Thursday</v>
      </c>
      <c r="D97" s="13">
        <v>45673</v>
      </c>
      <c r="E97" s="14">
        <v>2</v>
      </c>
      <c r="F97" s="12">
        <v>10702729792</v>
      </c>
      <c r="G97" s="14" t="s">
        <v>4</v>
      </c>
      <c r="H97" s="14" t="s">
        <v>21</v>
      </c>
      <c r="I97" s="16" t="s">
        <v>24</v>
      </c>
      <c r="J97" s="14" t="str">
        <f t="shared" ca="1" si="4"/>
        <v>No</v>
      </c>
    </row>
    <row r="98" spans="1:10" x14ac:dyDescent="0.35">
      <c r="A98" s="12">
        <f t="shared" si="5"/>
        <v>3</v>
      </c>
      <c r="B98" s="12" t="str">
        <f t="shared" si="6"/>
        <v>Jan2025</v>
      </c>
      <c r="C98" s="12" t="str">
        <f t="shared" si="7"/>
        <v>Thursday</v>
      </c>
      <c r="D98" s="13">
        <v>45673</v>
      </c>
      <c r="E98" s="14">
        <v>3</v>
      </c>
      <c r="F98" s="12">
        <v>10697931522</v>
      </c>
      <c r="G98" s="14" t="s">
        <v>5</v>
      </c>
      <c r="H98" s="14" t="s">
        <v>21</v>
      </c>
      <c r="I98" s="16" t="s">
        <v>70</v>
      </c>
      <c r="J98" s="14" t="str">
        <f t="shared" ca="1" si="4"/>
        <v>Yes</v>
      </c>
    </row>
    <row r="99" spans="1:10" x14ac:dyDescent="0.35">
      <c r="A99" s="12">
        <f t="shared" si="5"/>
        <v>3</v>
      </c>
      <c r="B99" s="12" t="str">
        <f t="shared" si="6"/>
        <v>Jan2025</v>
      </c>
      <c r="C99" s="12" t="str">
        <f t="shared" si="7"/>
        <v>Thursday</v>
      </c>
      <c r="D99" s="13">
        <v>45673</v>
      </c>
      <c r="E99" s="14">
        <v>4</v>
      </c>
      <c r="F99" s="12">
        <v>10697967422</v>
      </c>
      <c r="G99" s="14" t="s">
        <v>4</v>
      </c>
      <c r="H99" s="14" t="s">
        <v>21</v>
      </c>
      <c r="I99" s="16" t="s">
        <v>31</v>
      </c>
      <c r="J99" s="14" t="str">
        <f t="shared" ca="1" si="4"/>
        <v>No</v>
      </c>
    </row>
    <row r="100" spans="1:10" x14ac:dyDescent="0.35">
      <c r="A100" s="12">
        <f t="shared" si="5"/>
        <v>3</v>
      </c>
      <c r="B100" s="12" t="str">
        <f t="shared" si="6"/>
        <v>Jan2025</v>
      </c>
      <c r="C100" s="12" t="str">
        <f t="shared" si="7"/>
        <v>Thursday</v>
      </c>
      <c r="D100" s="13">
        <v>45673</v>
      </c>
      <c r="E100" s="14">
        <v>5</v>
      </c>
      <c r="F100" s="12">
        <v>10701754652</v>
      </c>
      <c r="G100" s="14" t="s">
        <v>4</v>
      </c>
      <c r="H100" s="14" t="s">
        <v>21</v>
      </c>
      <c r="I100" s="16" t="s">
        <v>22</v>
      </c>
      <c r="J100" s="14" t="str">
        <f t="shared" ca="1" si="4"/>
        <v>No</v>
      </c>
    </row>
    <row r="101" spans="1:10" x14ac:dyDescent="0.35">
      <c r="A101" s="12">
        <f t="shared" si="5"/>
        <v>3</v>
      </c>
      <c r="B101" s="12" t="str">
        <f t="shared" si="6"/>
        <v>Jan2025</v>
      </c>
      <c r="C101" s="12" t="str">
        <f t="shared" si="7"/>
        <v>Thursday</v>
      </c>
      <c r="D101" s="13">
        <v>45673</v>
      </c>
      <c r="E101" s="14">
        <v>6</v>
      </c>
      <c r="F101" s="12">
        <v>10702604652</v>
      </c>
      <c r="G101" s="14" t="s">
        <v>4</v>
      </c>
      <c r="H101" s="14" t="s">
        <v>21</v>
      </c>
      <c r="I101" s="16" t="s">
        <v>24</v>
      </c>
      <c r="J101" s="14" t="str">
        <f t="shared" ca="1" si="4"/>
        <v>Yes</v>
      </c>
    </row>
    <row r="102" spans="1:10" x14ac:dyDescent="0.35">
      <c r="A102" s="12">
        <f t="shared" si="5"/>
        <v>3</v>
      </c>
      <c r="B102" s="12" t="str">
        <f t="shared" si="6"/>
        <v>Jan2025</v>
      </c>
      <c r="C102" s="12" t="str">
        <f t="shared" si="7"/>
        <v>Thursday</v>
      </c>
      <c r="D102" s="13">
        <v>45673</v>
      </c>
      <c r="E102" s="14">
        <v>7</v>
      </c>
      <c r="F102" s="12">
        <v>10703536132</v>
      </c>
      <c r="G102" s="14" t="s">
        <v>4</v>
      </c>
      <c r="H102" s="14" t="s">
        <v>21</v>
      </c>
      <c r="I102" s="16" t="s">
        <v>24</v>
      </c>
      <c r="J102" s="14" t="str">
        <f t="shared" ca="1" si="4"/>
        <v>No</v>
      </c>
    </row>
    <row r="103" spans="1:10" x14ac:dyDescent="0.35">
      <c r="A103" s="12">
        <f t="shared" si="5"/>
        <v>3</v>
      </c>
      <c r="B103" s="12" t="str">
        <f t="shared" si="6"/>
        <v>Jan2025</v>
      </c>
      <c r="C103" s="12" t="str">
        <f t="shared" si="7"/>
        <v>Thursday</v>
      </c>
      <c r="D103" s="13">
        <v>45673</v>
      </c>
      <c r="E103" s="14">
        <v>8</v>
      </c>
      <c r="F103" s="12">
        <v>10703569612</v>
      </c>
      <c r="G103" s="14" t="s">
        <v>4</v>
      </c>
      <c r="H103" s="14" t="s">
        <v>21</v>
      </c>
      <c r="I103" s="16" t="s">
        <v>24</v>
      </c>
      <c r="J103" s="14" t="str">
        <f t="shared" ca="1" si="4"/>
        <v>No</v>
      </c>
    </row>
    <row r="104" spans="1:10" x14ac:dyDescent="0.35">
      <c r="A104" s="12">
        <f t="shared" si="5"/>
        <v>3</v>
      </c>
      <c r="B104" s="12" t="str">
        <f t="shared" si="6"/>
        <v>Jan2025</v>
      </c>
      <c r="C104" s="12" t="str">
        <f t="shared" si="7"/>
        <v>Thursday</v>
      </c>
      <c r="D104" s="13">
        <v>45673</v>
      </c>
      <c r="E104" s="14">
        <v>9</v>
      </c>
      <c r="F104" s="12">
        <v>10622949542</v>
      </c>
      <c r="G104" s="14" t="s">
        <v>3</v>
      </c>
      <c r="H104" s="14" t="s">
        <v>61</v>
      </c>
      <c r="I104" s="16" t="s">
        <v>16</v>
      </c>
      <c r="J104" s="14" t="str">
        <f t="shared" ca="1" si="4"/>
        <v>No</v>
      </c>
    </row>
    <row r="105" spans="1:10" x14ac:dyDescent="0.35">
      <c r="A105" s="12">
        <f t="shared" si="5"/>
        <v>3</v>
      </c>
      <c r="B105" s="12" t="str">
        <f t="shared" si="6"/>
        <v>Jan2025</v>
      </c>
      <c r="C105" s="12" t="str">
        <f t="shared" si="7"/>
        <v>Thursday</v>
      </c>
      <c r="D105" s="13">
        <v>45673</v>
      </c>
      <c r="E105" s="14">
        <v>10</v>
      </c>
      <c r="F105" s="12">
        <v>10699589782</v>
      </c>
      <c r="G105" s="14" t="s">
        <v>4</v>
      </c>
      <c r="H105" s="14" t="s">
        <v>11</v>
      </c>
      <c r="I105" s="16" t="s">
        <v>32</v>
      </c>
      <c r="J105" s="14" t="str">
        <f t="shared" ca="1" si="4"/>
        <v>No</v>
      </c>
    </row>
    <row r="106" spans="1:10" x14ac:dyDescent="0.35">
      <c r="A106" s="12">
        <f t="shared" si="5"/>
        <v>3</v>
      </c>
      <c r="B106" s="12" t="str">
        <f t="shared" si="6"/>
        <v>Jan2025</v>
      </c>
      <c r="C106" s="12" t="str">
        <f t="shared" si="7"/>
        <v>Thursday</v>
      </c>
      <c r="D106" s="13">
        <v>45673</v>
      </c>
      <c r="E106" s="14">
        <v>11</v>
      </c>
      <c r="F106" s="12">
        <v>10707641862</v>
      </c>
      <c r="G106" s="14" t="s">
        <v>7</v>
      </c>
      <c r="H106" s="14" t="s">
        <v>11</v>
      </c>
      <c r="I106" s="16" t="s">
        <v>47</v>
      </c>
      <c r="J106" s="14" t="str">
        <f t="shared" ca="1" si="4"/>
        <v>No</v>
      </c>
    </row>
    <row r="107" spans="1:10" x14ac:dyDescent="0.35">
      <c r="A107" s="12">
        <f t="shared" si="5"/>
        <v>3</v>
      </c>
      <c r="B107" s="12" t="str">
        <f t="shared" si="6"/>
        <v>Jan2025</v>
      </c>
      <c r="C107" s="12" t="str">
        <f t="shared" si="7"/>
        <v>Thursday</v>
      </c>
      <c r="D107" s="13">
        <v>45673</v>
      </c>
      <c r="E107" s="14">
        <v>12</v>
      </c>
      <c r="F107" s="12">
        <v>10711680612</v>
      </c>
      <c r="G107" s="14" t="s">
        <v>4</v>
      </c>
      <c r="H107" s="14" t="s">
        <v>61</v>
      </c>
      <c r="I107" s="16" t="s">
        <v>81</v>
      </c>
      <c r="J107" s="14" t="str">
        <f t="shared" ca="1" si="4"/>
        <v>Yes</v>
      </c>
    </row>
    <row r="108" spans="1:10" x14ac:dyDescent="0.35">
      <c r="A108" s="12">
        <f t="shared" si="5"/>
        <v>3</v>
      </c>
      <c r="B108" s="12" t="str">
        <f t="shared" si="6"/>
        <v>Jan2025</v>
      </c>
      <c r="C108" s="12" t="str">
        <f t="shared" si="7"/>
        <v>Thursday</v>
      </c>
      <c r="D108" s="13">
        <v>45673</v>
      </c>
      <c r="E108" s="14">
        <v>13</v>
      </c>
      <c r="F108" s="12">
        <v>10686212972</v>
      </c>
      <c r="G108" s="14" t="s">
        <v>4</v>
      </c>
      <c r="H108" s="14" t="s">
        <v>11</v>
      </c>
      <c r="I108" s="16" t="s">
        <v>22</v>
      </c>
      <c r="J108" s="14" t="str">
        <f t="shared" ca="1" si="4"/>
        <v>No</v>
      </c>
    </row>
    <row r="109" spans="1:10" x14ac:dyDescent="0.35">
      <c r="A109" s="12">
        <f t="shared" si="5"/>
        <v>3</v>
      </c>
      <c r="B109" s="12" t="str">
        <f t="shared" si="6"/>
        <v>Jan2025</v>
      </c>
      <c r="C109" s="12" t="str">
        <f t="shared" si="7"/>
        <v>Thursday</v>
      </c>
      <c r="D109" s="13">
        <v>45673</v>
      </c>
      <c r="E109" s="14">
        <v>14</v>
      </c>
      <c r="F109" s="12">
        <v>10710779662</v>
      </c>
      <c r="G109" s="14" t="s">
        <v>4</v>
      </c>
      <c r="H109" s="14" t="s">
        <v>21</v>
      </c>
      <c r="I109" s="16" t="s">
        <v>100</v>
      </c>
      <c r="J109" s="14" t="str">
        <f t="shared" ca="1" si="4"/>
        <v>No</v>
      </c>
    </row>
    <row r="110" spans="1:10" x14ac:dyDescent="0.35">
      <c r="A110" s="12">
        <f t="shared" si="5"/>
        <v>3</v>
      </c>
      <c r="B110" s="12" t="str">
        <f t="shared" si="6"/>
        <v>Jan2025</v>
      </c>
      <c r="C110" s="12" t="str">
        <f t="shared" si="7"/>
        <v>Thursday</v>
      </c>
      <c r="D110" s="13">
        <v>45673</v>
      </c>
      <c r="E110" s="14">
        <v>15</v>
      </c>
      <c r="F110" s="12">
        <v>10710671102</v>
      </c>
      <c r="G110" s="14" t="s">
        <v>4</v>
      </c>
      <c r="H110" s="14" t="s">
        <v>11</v>
      </c>
      <c r="I110" s="16" t="s">
        <v>142</v>
      </c>
      <c r="J110" s="14" t="str">
        <f t="shared" ca="1" si="4"/>
        <v>No</v>
      </c>
    </row>
    <row r="111" spans="1:10" x14ac:dyDescent="0.35">
      <c r="A111" s="12">
        <f t="shared" si="5"/>
        <v>3</v>
      </c>
      <c r="B111" s="12" t="str">
        <f t="shared" si="6"/>
        <v>Jan2025</v>
      </c>
      <c r="C111" s="12" t="str">
        <f t="shared" si="7"/>
        <v>Thursday</v>
      </c>
      <c r="D111" s="13">
        <v>45673</v>
      </c>
      <c r="E111" s="14">
        <v>16</v>
      </c>
      <c r="F111" s="12">
        <v>10709276782</v>
      </c>
      <c r="G111" s="14" t="s">
        <v>4</v>
      </c>
      <c r="H111" s="14" t="s">
        <v>61</v>
      </c>
      <c r="I111" s="16" t="s">
        <v>88</v>
      </c>
      <c r="J111" s="14" t="str">
        <f t="shared" ca="1" si="4"/>
        <v>No</v>
      </c>
    </row>
    <row r="112" spans="1:10" x14ac:dyDescent="0.35">
      <c r="A112" s="12">
        <f t="shared" si="5"/>
        <v>3</v>
      </c>
      <c r="B112" s="12" t="str">
        <f t="shared" si="6"/>
        <v>Jan2025</v>
      </c>
      <c r="C112" s="12" t="str">
        <f t="shared" si="7"/>
        <v>Thursday</v>
      </c>
      <c r="D112" s="13">
        <v>45673</v>
      </c>
      <c r="E112" s="14">
        <v>17</v>
      </c>
      <c r="F112" s="12">
        <v>10712344502</v>
      </c>
      <c r="G112" s="14" t="s">
        <v>4</v>
      </c>
      <c r="H112" s="14" t="s">
        <v>61</v>
      </c>
      <c r="I112" s="16" t="s">
        <v>71</v>
      </c>
      <c r="J112" s="14" t="str">
        <f t="shared" ca="1" si="4"/>
        <v>No</v>
      </c>
    </row>
    <row r="113" spans="1:10" x14ac:dyDescent="0.35">
      <c r="A113" s="12">
        <f t="shared" si="5"/>
        <v>3</v>
      </c>
      <c r="B113" s="12" t="str">
        <f t="shared" si="6"/>
        <v>Jan2025</v>
      </c>
      <c r="C113" s="12" t="str">
        <f t="shared" si="7"/>
        <v>Thursday</v>
      </c>
      <c r="D113" s="13">
        <v>45673</v>
      </c>
      <c r="E113" s="14">
        <v>18</v>
      </c>
      <c r="F113" s="12">
        <v>10704677712</v>
      </c>
      <c r="G113" s="14" t="s">
        <v>5</v>
      </c>
      <c r="H113" s="14" t="s">
        <v>21</v>
      </c>
      <c r="I113" s="16" t="s">
        <v>35</v>
      </c>
      <c r="J113" s="14" t="str">
        <f t="shared" ca="1" si="4"/>
        <v>No</v>
      </c>
    </row>
    <row r="114" spans="1:10" x14ac:dyDescent="0.35">
      <c r="A114" s="12">
        <f t="shared" si="5"/>
        <v>3</v>
      </c>
      <c r="B114" s="12" t="str">
        <f t="shared" si="6"/>
        <v>Jan2025</v>
      </c>
      <c r="C114" s="12" t="str">
        <f t="shared" si="7"/>
        <v>Thursday</v>
      </c>
      <c r="D114" s="13">
        <v>45673</v>
      </c>
      <c r="E114" s="14">
        <v>19</v>
      </c>
      <c r="F114" s="12">
        <v>10705335932</v>
      </c>
      <c r="G114" s="14" t="s">
        <v>4</v>
      </c>
      <c r="H114" s="14" t="s">
        <v>61</v>
      </c>
      <c r="I114" s="16" t="s">
        <v>77</v>
      </c>
      <c r="J114" s="14" t="str">
        <f t="shared" ca="1" si="4"/>
        <v>No</v>
      </c>
    </row>
    <row r="115" spans="1:10" x14ac:dyDescent="0.35">
      <c r="A115" s="12">
        <f t="shared" si="5"/>
        <v>3</v>
      </c>
      <c r="B115" s="12" t="str">
        <f t="shared" si="6"/>
        <v>Jan2025</v>
      </c>
      <c r="C115" s="12" t="str">
        <f t="shared" si="7"/>
        <v>Thursday</v>
      </c>
      <c r="D115" s="13">
        <v>45673</v>
      </c>
      <c r="E115" s="14">
        <v>20</v>
      </c>
      <c r="F115" s="12">
        <v>10712012692</v>
      </c>
      <c r="G115" s="14" t="s">
        <v>4</v>
      </c>
      <c r="H115" s="14" t="s">
        <v>61</v>
      </c>
      <c r="I115" s="16" t="s">
        <v>129</v>
      </c>
      <c r="J115" s="14" t="str">
        <f t="shared" ca="1" si="4"/>
        <v>No</v>
      </c>
    </row>
    <row r="116" spans="1:10" x14ac:dyDescent="0.35">
      <c r="A116" s="12">
        <f t="shared" si="5"/>
        <v>3</v>
      </c>
      <c r="B116" s="12" t="str">
        <f t="shared" si="6"/>
        <v>Jan2025</v>
      </c>
      <c r="C116" s="12" t="str">
        <f t="shared" si="7"/>
        <v>Thursday</v>
      </c>
      <c r="D116" s="13">
        <v>45673</v>
      </c>
      <c r="E116" s="14">
        <v>21</v>
      </c>
      <c r="F116" s="12">
        <v>10712002452</v>
      </c>
      <c r="G116" s="14" t="s">
        <v>4</v>
      </c>
      <c r="H116" s="14" t="s">
        <v>61</v>
      </c>
      <c r="I116" s="16" t="s">
        <v>143</v>
      </c>
      <c r="J116" s="14" t="str">
        <f t="shared" ca="1" si="4"/>
        <v>No</v>
      </c>
    </row>
    <row r="117" spans="1:10" x14ac:dyDescent="0.35">
      <c r="A117" s="12">
        <f t="shared" si="5"/>
        <v>3</v>
      </c>
      <c r="B117" s="12" t="str">
        <f t="shared" si="6"/>
        <v>Jan2025</v>
      </c>
      <c r="C117" s="12" t="str">
        <f t="shared" si="7"/>
        <v>Thursday</v>
      </c>
      <c r="D117" s="13">
        <v>45673</v>
      </c>
      <c r="E117" s="14">
        <v>22</v>
      </c>
      <c r="F117" s="12">
        <v>10712627252</v>
      </c>
      <c r="G117" s="14" t="s">
        <v>7</v>
      </c>
      <c r="H117" s="14" t="s">
        <v>61</v>
      </c>
      <c r="I117" s="16" t="s">
        <v>95</v>
      </c>
      <c r="J117" s="14" t="str">
        <f t="shared" ca="1" si="4"/>
        <v>No</v>
      </c>
    </row>
    <row r="118" spans="1:10" x14ac:dyDescent="0.35">
      <c r="A118" s="12">
        <f t="shared" si="5"/>
        <v>3</v>
      </c>
      <c r="B118" s="12" t="str">
        <f t="shared" si="6"/>
        <v>Jan2025</v>
      </c>
      <c r="C118" s="12" t="str">
        <f t="shared" si="7"/>
        <v>Thursday</v>
      </c>
      <c r="D118" s="13">
        <v>45673</v>
      </c>
      <c r="E118" s="14">
        <v>23</v>
      </c>
      <c r="F118" s="12">
        <v>10709440662</v>
      </c>
      <c r="G118" s="14" t="s">
        <v>4</v>
      </c>
      <c r="H118" s="14" t="s">
        <v>61</v>
      </c>
      <c r="I118" s="16" t="s">
        <v>88</v>
      </c>
      <c r="J118" s="14" t="str">
        <f t="shared" ca="1" si="4"/>
        <v>No</v>
      </c>
    </row>
    <row r="119" spans="1:10" x14ac:dyDescent="0.35">
      <c r="A119" s="12">
        <f t="shared" si="5"/>
        <v>3</v>
      </c>
      <c r="B119" s="12" t="str">
        <f t="shared" si="6"/>
        <v>Jan2025</v>
      </c>
      <c r="C119" s="12" t="str">
        <f t="shared" si="7"/>
        <v>Thursday</v>
      </c>
      <c r="D119" s="13">
        <v>45673</v>
      </c>
      <c r="E119" s="14">
        <v>24</v>
      </c>
      <c r="F119" s="12">
        <v>10694249592</v>
      </c>
      <c r="G119" s="14" t="s">
        <v>4</v>
      </c>
      <c r="H119" s="14" t="s">
        <v>21</v>
      </c>
      <c r="I119" s="16" t="s">
        <v>64</v>
      </c>
      <c r="J119" s="14" t="str">
        <f t="shared" ca="1" si="4"/>
        <v>No</v>
      </c>
    </row>
    <row r="120" spans="1:10" x14ac:dyDescent="0.35">
      <c r="A120" s="12">
        <f t="shared" si="5"/>
        <v>3</v>
      </c>
      <c r="B120" s="12" t="str">
        <f t="shared" si="6"/>
        <v>Jan2025</v>
      </c>
      <c r="C120" s="12" t="str">
        <f t="shared" si="7"/>
        <v>Thursday</v>
      </c>
      <c r="D120" s="13">
        <v>45673</v>
      </c>
      <c r="E120" s="14">
        <v>25</v>
      </c>
      <c r="F120" s="12">
        <v>10712420802</v>
      </c>
      <c r="G120" s="14" t="s">
        <v>7</v>
      </c>
      <c r="H120" s="14" t="s">
        <v>61</v>
      </c>
      <c r="I120" s="16" t="s">
        <v>40</v>
      </c>
      <c r="J120" s="14" t="str">
        <f t="shared" ca="1" si="4"/>
        <v>No</v>
      </c>
    </row>
    <row r="121" spans="1:10" x14ac:dyDescent="0.35">
      <c r="A121" s="12">
        <f t="shared" si="5"/>
        <v>3</v>
      </c>
      <c r="B121" s="12" t="str">
        <f t="shared" si="6"/>
        <v>Jan2025</v>
      </c>
      <c r="C121" s="12" t="str">
        <f t="shared" si="7"/>
        <v>Friday</v>
      </c>
      <c r="D121" s="13">
        <v>45674</v>
      </c>
      <c r="E121" s="14">
        <v>1</v>
      </c>
      <c r="F121" s="12">
        <v>10705563662</v>
      </c>
      <c r="G121" s="14" t="s">
        <v>4</v>
      </c>
      <c r="H121" s="14" t="s">
        <v>11</v>
      </c>
      <c r="I121" s="16" t="s">
        <v>94</v>
      </c>
      <c r="J121" s="14" t="str">
        <f t="shared" ca="1" si="4"/>
        <v>Yes</v>
      </c>
    </row>
    <row r="122" spans="1:10" x14ac:dyDescent="0.35">
      <c r="A122" s="12">
        <f t="shared" si="5"/>
        <v>3</v>
      </c>
      <c r="B122" s="12" t="str">
        <f t="shared" si="6"/>
        <v>Jan2025</v>
      </c>
      <c r="C122" s="12" t="str">
        <f t="shared" si="7"/>
        <v>Friday</v>
      </c>
      <c r="D122" s="13">
        <v>45674</v>
      </c>
      <c r="E122" s="14">
        <v>2</v>
      </c>
      <c r="F122" s="12">
        <v>10668563822</v>
      </c>
      <c r="G122" s="14" t="s">
        <v>5</v>
      </c>
      <c r="H122" s="14" t="s">
        <v>21</v>
      </c>
      <c r="I122" s="16" t="s">
        <v>70</v>
      </c>
      <c r="J122" s="14" t="str">
        <f t="shared" ca="1" si="4"/>
        <v>No</v>
      </c>
    </row>
    <row r="123" spans="1:10" x14ac:dyDescent="0.35">
      <c r="A123" s="12">
        <f t="shared" si="5"/>
        <v>3</v>
      </c>
      <c r="B123" s="12" t="str">
        <f t="shared" si="6"/>
        <v>Jan2025</v>
      </c>
      <c r="C123" s="12" t="str">
        <f t="shared" si="7"/>
        <v>Friday</v>
      </c>
      <c r="D123" s="13">
        <v>45674</v>
      </c>
      <c r="E123" s="14">
        <v>3</v>
      </c>
      <c r="F123" s="12">
        <v>10713740692</v>
      </c>
      <c r="G123" s="14" t="s">
        <v>4</v>
      </c>
      <c r="H123" s="14" t="s">
        <v>11</v>
      </c>
      <c r="I123" s="16" t="s">
        <v>32</v>
      </c>
      <c r="J123" s="14" t="str">
        <f t="shared" ca="1" si="4"/>
        <v>No</v>
      </c>
    </row>
    <row r="124" spans="1:10" x14ac:dyDescent="0.35">
      <c r="A124" s="12">
        <f t="shared" si="5"/>
        <v>3</v>
      </c>
      <c r="B124" s="12" t="str">
        <f t="shared" si="6"/>
        <v>Jan2025</v>
      </c>
      <c r="C124" s="12" t="str">
        <f t="shared" si="7"/>
        <v>Friday</v>
      </c>
      <c r="D124" s="13">
        <v>45674</v>
      </c>
      <c r="E124" s="14">
        <v>4</v>
      </c>
      <c r="F124" s="12">
        <v>10703797122</v>
      </c>
      <c r="G124" s="14" t="s">
        <v>4</v>
      </c>
      <c r="H124" s="14" t="s">
        <v>11</v>
      </c>
      <c r="I124" s="16" t="s">
        <v>92</v>
      </c>
      <c r="J124" s="14" t="str">
        <f t="shared" ca="1" si="4"/>
        <v>Yes</v>
      </c>
    </row>
    <row r="125" spans="1:10" x14ac:dyDescent="0.35">
      <c r="A125" s="12">
        <f t="shared" si="5"/>
        <v>3</v>
      </c>
      <c r="B125" s="12" t="str">
        <f t="shared" si="6"/>
        <v>Jan2025</v>
      </c>
      <c r="C125" s="12" t="str">
        <f t="shared" si="7"/>
        <v>Friday</v>
      </c>
      <c r="D125" s="13">
        <v>45674</v>
      </c>
      <c r="E125" s="14">
        <v>5</v>
      </c>
      <c r="F125" s="12">
        <v>10712673612</v>
      </c>
      <c r="G125" s="14" t="s">
        <v>3</v>
      </c>
      <c r="H125" s="14" t="s">
        <v>11</v>
      </c>
      <c r="I125" s="16" t="s">
        <v>16</v>
      </c>
      <c r="J125" s="14" t="str">
        <f t="shared" ca="1" si="4"/>
        <v>No</v>
      </c>
    </row>
    <row r="126" spans="1:10" x14ac:dyDescent="0.35">
      <c r="A126" s="12">
        <f t="shared" si="5"/>
        <v>3</v>
      </c>
      <c r="B126" s="12" t="str">
        <f t="shared" si="6"/>
        <v>Jan2025</v>
      </c>
      <c r="C126" s="12" t="str">
        <f t="shared" si="7"/>
        <v>Friday</v>
      </c>
      <c r="D126" s="13">
        <v>45674</v>
      </c>
      <c r="E126" s="14">
        <v>6</v>
      </c>
      <c r="F126" s="12">
        <v>10714374742</v>
      </c>
      <c r="G126" s="14" t="s">
        <v>7</v>
      </c>
      <c r="H126" s="14" t="s">
        <v>61</v>
      </c>
      <c r="I126" s="16" t="s">
        <v>47</v>
      </c>
      <c r="J126" s="14" t="str">
        <f t="shared" ca="1" si="4"/>
        <v>No</v>
      </c>
    </row>
    <row r="127" spans="1:10" x14ac:dyDescent="0.35">
      <c r="A127" s="12">
        <f t="shared" si="5"/>
        <v>3</v>
      </c>
      <c r="B127" s="12" t="str">
        <f t="shared" si="6"/>
        <v>Jan2025</v>
      </c>
      <c r="C127" s="12" t="str">
        <f t="shared" si="7"/>
        <v>Friday</v>
      </c>
      <c r="D127" s="13">
        <v>45674</v>
      </c>
      <c r="E127" s="14">
        <v>7</v>
      </c>
      <c r="F127" s="12">
        <v>10713053352</v>
      </c>
      <c r="G127" s="14" t="s">
        <v>4</v>
      </c>
      <c r="H127" s="14" t="s">
        <v>11</v>
      </c>
      <c r="I127" s="16" t="s">
        <v>92</v>
      </c>
      <c r="J127" s="14" t="str">
        <f t="shared" ca="1" si="4"/>
        <v>No</v>
      </c>
    </row>
    <row r="128" spans="1:10" x14ac:dyDescent="0.35">
      <c r="A128" s="12">
        <f t="shared" si="5"/>
        <v>3</v>
      </c>
      <c r="B128" s="12" t="str">
        <f t="shared" si="6"/>
        <v>Jan2025</v>
      </c>
      <c r="C128" s="12" t="str">
        <f t="shared" si="7"/>
        <v>Friday</v>
      </c>
      <c r="D128" s="13">
        <v>45674</v>
      </c>
      <c r="E128" s="14">
        <v>8</v>
      </c>
      <c r="F128" s="12">
        <v>10708223362</v>
      </c>
      <c r="G128" s="14" t="s">
        <v>4</v>
      </c>
      <c r="H128" s="14" t="s">
        <v>21</v>
      </c>
      <c r="I128" s="16" t="s">
        <v>31</v>
      </c>
      <c r="J128" s="14" t="str">
        <f t="shared" ca="1" si="4"/>
        <v>No</v>
      </c>
    </row>
    <row r="129" spans="1:10" x14ac:dyDescent="0.35">
      <c r="A129" s="12">
        <f t="shared" si="5"/>
        <v>3</v>
      </c>
      <c r="B129" s="12" t="str">
        <f t="shared" si="6"/>
        <v>Jan2025</v>
      </c>
      <c r="C129" s="12" t="str">
        <f t="shared" si="7"/>
        <v>Friday</v>
      </c>
      <c r="D129" s="13">
        <v>45674</v>
      </c>
      <c r="E129" s="14">
        <v>9</v>
      </c>
      <c r="F129" s="12">
        <v>10714927132</v>
      </c>
      <c r="G129" s="14" t="s">
        <v>4</v>
      </c>
      <c r="H129" s="14" t="s">
        <v>61</v>
      </c>
      <c r="I129" s="16" t="s">
        <v>45</v>
      </c>
      <c r="J129" s="14" t="str">
        <f t="shared" ca="1" si="4"/>
        <v>No</v>
      </c>
    </row>
    <row r="130" spans="1:10" x14ac:dyDescent="0.35">
      <c r="A130" s="12">
        <f t="shared" si="5"/>
        <v>3</v>
      </c>
      <c r="B130" s="12" t="str">
        <f t="shared" si="6"/>
        <v>Jan2025</v>
      </c>
      <c r="C130" s="12" t="str">
        <f t="shared" si="7"/>
        <v>Friday</v>
      </c>
      <c r="D130" s="13">
        <v>45674</v>
      </c>
      <c r="E130" s="14">
        <v>10</v>
      </c>
      <c r="F130" s="12">
        <v>10713852862</v>
      </c>
      <c r="G130" s="14" t="s">
        <v>5</v>
      </c>
      <c r="H130" s="14" t="s">
        <v>61</v>
      </c>
      <c r="I130" s="16" t="s">
        <v>136</v>
      </c>
      <c r="J130" s="14" t="str">
        <f t="shared" ref="J130:J193" ca="1" si="8">IF(RAND()&lt;0.2,"Yes","No")</f>
        <v>No</v>
      </c>
    </row>
    <row r="131" spans="1:10" x14ac:dyDescent="0.35">
      <c r="A131" s="12">
        <f t="shared" ref="A131:A194" si="9">WEEKNUM(D131)</f>
        <v>3</v>
      </c>
      <c r="B131" s="12" t="str">
        <f t="shared" ref="B131:B194" si="10">TEXT(D131,"MMMYYYY")</f>
        <v>Jan2025</v>
      </c>
      <c r="C131" s="12" t="str">
        <f t="shared" ref="C131:C194" si="11">TEXT(D131,"dddd")</f>
        <v>Friday</v>
      </c>
      <c r="D131" s="13">
        <v>45674</v>
      </c>
      <c r="E131" s="14">
        <v>11</v>
      </c>
      <c r="F131" s="12">
        <v>10638550132</v>
      </c>
      <c r="G131" s="14" t="s">
        <v>4</v>
      </c>
      <c r="H131" s="14" t="s">
        <v>11</v>
      </c>
      <c r="I131" s="16" t="s">
        <v>144</v>
      </c>
      <c r="J131" s="14" t="str">
        <f t="shared" ca="1" si="8"/>
        <v>Yes</v>
      </c>
    </row>
    <row r="132" spans="1:10" x14ac:dyDescent="0.35">
      <c r="A132" s="12">
        <f t="shared" si="9"/>
        <v>3</v>
      </c>
      <c r="B132" s="12" t="str">
        <f t="shared" si="10"/>
        <v>Jan2025</v>
      </c>
      <c r="C132" s="12" t="str">
        <f t="shared" si="11"/>
        <v>Friday</v>
      </c>
      <c r="D132" s="13">
        <v>45674</v>
      </c>
      <c r="E132" s="14">
        <v>12</v>
      </c>
      <c r="F132" s="12">
        <v>10707170392</v>
      </c>
      <c r="G132" s="14" t="s">
        <v>5</v>
      </c>
      <c r="H132" s="14" t="s">
        <v>61</v>
      </c>
      <c r="I132" s="16" t="s">
        <v>145</v>
      </c>
      <c r="J132" s="14" t="str">
        <f t="shared" ca="1" si="8"/>
        <v>No</v>
      </c>
    </row>
    <row r="133" spans="1:10" x14ac:dyDescent="0.35">
      <c r="A133" s="12">
        <f t="shared" si="9"/>
        <v>3</v>
      </c>
      <c r="B133" s="12" t="str">
        <f t="shared" si="10"/>
        <v>Jan2025</v>
      </c>
      <c r="C133" s="12" t="str">
        <f t="shared" si="11"/>
        <v>Friday</v>
      </c>
      <c r="D133" s="13">
        <v>45674</v>
      </c>
      <c r="E133" s="14">
        <v>13</v>
      </c>
      <c r="F133" s="12">
        <v>10714746962</v>
      </c>
      <c r="G133" s="14" t="s">
        <v>4</v>
      </c>
      <c r="H133" s="14" t="s">
        <v>11</v>
      </c>
      <c r="I133" s="16" t="s">
        <v>92</v>
      </c>
      <c r="J133" s="14" t="str">
        <f t="shared" ca="1" si="8"/>
        <v>No</v>
      </c>
    </row>
    <row r="134" spans="1:10" x14ac:dyDescent="0.35">
      <c r="A134" s="12">
        <f t="shared" si="9"/>
        <v>3</v>
      </c>
      <c r="B134" s="12" t="str">
        <f t="shared" si="10"/>
        <v>Jan2025</v>
      </c>
      <c r="C134" s="12" t="str">
        <f t="shared" si="11"/>
        <v>Friday</v>
      </c>
      <c r="D134" s="13">
        <v>45674</v>
      </c>
      <c r="E134" s="14">
        <v>14</v>
      </c>
      <c r="F134" s="12">
        <v>10714824872</v>
      </c>
      <c r="G134" s="14" t="s">
        <v>4</v>
      </c>
      <c r="H134" s="14" t="s">
        <v>21</v>
      </c>
      <c r="I134" s="16" t="s">
        <v>33</v>
      </c>
      <c r="J134" s="14" t="str">
        <f t="shared" ca="1" si="8"/>
        <v>No</v>
      </c>
    </row>
    <row r="135" spans="1:10" x14ac:dyDescent="0.35">
      <c r="A135" s="12">
        <f t="shared" si="9"/>
        <v>3</v>
      </c>
      <c r="B135" s="12" t="str">
        <f t="shared" si="10"/>
        <v>Jan2025</v>
      </c>
      <c r="C135" s="12" t="str">
        <f t="shared" si="11"/>
        <v>Friday</v>
      </c>
      <c r="D135" s="13">
        <v>45674</v>
      </c>
      <c r="E135" s="14">
        <v>15</v>
      </c>
      <c r="F135" s="12">
        <v>10714936802</v>
      </c>
      <c r="G135" s="14" t="s">
        <v>4</v>
      </c>
      <c r="H135" s="14" t="s">
        <v>61</v>
      </c>
      <c r="I135" s="16" t="s">
        <v>112</v>
      </c>
      <c r="J135" s="14" t="str">
        <f t="shared" ca="1" si="8"/>
        <v>No</v>
      </c>
    </row>
    <row r="136" spans="1:10" x14ac:dyDescent="0.35">
      <c r="A136" s="12">
        <f t="shared" si="9"/>
        <v>3</v>
      </c>
      <c r="B136" s="12" t="str">
        <f t="shared" si="10"/>
        <v>Jan2025</v>
      </c>
      <c r="C136" s="12" t="str">
        <f t="shared" si="11"/>
        <v>Friday</v>
      </c>
      <c r="D136" s="13">
        <v>45674</v>
      </c>
      <c r="E136" s="14">
        <v>16</v>
      </c>
      <c r="F136" s="12">
        <v>10706061282</v>
      </c>
      <c r="G136" s="14" t="s">
        <v>4</v>
      </c>
      <c r="H136" s="14" t="s">
        <v>21</v>
      </c>
      <c r="I136" s="16" t="s">
        <v>24</v>
      </c>
      <c r="J136" s="14" t="str">
        <f t="shared" ca="1" si="8"/>
        <v>No</v>
      </c>
    </row>
    <row r="137" spans="1:10" x14ac:dyDescent="0.35">
      <c r="A137" s="12">
        <f t="shared" si="9"/>
        <v>3</v>
      </c>
      <c r="B137" s="12" t="str">
        <f t="shared" si="10"/>
        <v>Jan2025</v>
      </c>
      <c r="C137" s="12" t="str">
        <f t="shared" si="11"/>
        <v>Friday</v>
      </c>
      <c r="D137" s="13">
        <v>45674</v>
      </c>
      <c r="E137" s="14">
        <v>17</v>
      </c>
      <c r="F137" s="12">
        <v>10709176092</v>
      </c>
      <c r="G137" s="14" t="s">
        <v>5</v>
      </c>
      <c r="H137" s="14" t="s">
        <v>21</v>
      </c>
      <c r="I137" s="16" t="s">
        <v>36</v>
      </c>
      <c r="J137" s="14" t="str">
        <f t="shared" ca="1" si="8"/>
        <v>No</v>
      </c>
    </row>
    <row r="138" spans="1:10" x14ac:dyDescent="0.35">
      <c r="A138" s="12">
        <f t="shared" si="9"/>
        <v>3</v>
      </c>
      <c r="B138" s="12" t="str">
        <f t="shared" si="10"/>
        <v>Jan2025</v>
      </c>
      <c r="C138" s="12" t="str">
        <f t="shared" si="11"/>
        <v>Friday</v>
      </c>
      <c r="D138" s="13">
        <v>45674</v>
      </c>
      <c r="E138" s="14">
        <v>18</v>
      </c>
      <c r="F138" s="12">
        <v>10715578772</v>
      </c>
      <c r="G138" s="14" t="s">
        <v>3</v>
      </c>
      <c r="H138" s="14" t="s">
        <v>61</v>
      </c>
      <c r="I138" s="16" t="s">
        <v>16</v>
      </c>
      <c r="J138" s="14" t="str">
        <f t="shared" ca="1" si="8"/>
        <v>No</v>
      </c>
    </row>
    <row r="139" spans="1:10" x14ac:dyDescent="0.35">
      <c r="A139" s="12">
        <f t="shared" si="9"/>
        <v>3</v>
      </c>
      <c r="B139" s="12" t="str">
        <f t="shared" si="10"/>
        <v>Jan2025</v>
      </c>
      <c r="C139" s="12" t="str">
        <f t="shared" si="11"/>
        <v>Friday</v>
      </c>
      <c r="D139" s="13">
        <v>45674</v>
      </c>
      <c r="E139" s="14">
        <v>19</v>
      </c>
      <c r="F139" s="12">
        <v>10714665402</v>
      </c>
      <c r="G139" s="14" t="s">
        <v>4</v>
      </c>
      <c r="H139" s="14" t="s">
        <v>21</v>
      </c>
      <c r="I139" s="16" t="s">
        <v>76</v>
      </c>
      <c r="J139" s="14" t="str">
        <f t="shared" ca="1" si="8"/>
        <v>No</v>
      </c>
    </row>
    <row r="140" spans="1:10" x14ac:dyDescent="0.35">
      <c r="A140" s="12">
        <f t="shared" si="9"/>
        <v>3</v>
      </c>
      <c r="B140" s="12" t="str">
        <f t="shared" si="10"/>
        <v>Jan2025</v>
      </c>
      <c r="C140" s="12" t="str">
        <f t="shared" si="11"/>
        <v>Friday</v>
      </c>
      <c r="D140" s="13">
        <v>45674</v>
      </c>
      <c r="E140" s="14">
        <v>20</v>
      </c>
      <c r="F140" s="12">
        <v>10715437322</v>
      </c>
      <c r="G140" s="14" t="s">
        <v>4</v>
      </c>
      <c r="H140" s="14" t="s">
        <v>11</v>
      </c>
      <c r="I140" s="16" t="s">
        <v>92</v>
      </c>
      <c r="J140" s="14" t="str">
        <f t="shared" ca="1" si="8"/>
        <v>Yes</v>
      </c>
    </row>
    <row r="141" spans="1:10" x14ac:dyDescent="0.35">
      <c r="A141" s="12">
        <f t="shared" si="9"/>
        <v>3</v>
      </c>
      <c r="B141" s="12" t="str">
        <f t="shared" si="10"/>
        <v>Jan2025</v>
      </c>
      <c r="C141" s="12" t="str">
        <f t="shared" si="11"/>
        <v>Friday</v>
      </c>
      <c r="D141" s="13">
        <v>45674</v>
      </c>
      <c r="E141" s="14">
        <v>21</v>
      </c>
      <c r="F141" s="12">
        <v>10674376312</v>
      </c>
      <c r="G141" s="14" t="s">
        <v>3</v>
      </c>
      <c r="H141" s="14" t="s">
        <v>21</v>
      </c>
      <c r="I141" s="16" t="s">
        <v>16</v>
      </c>
      <c r="J141" s="14" t="str">
        <f t="shared" ca="1" si="8"/>
        <v>No</v>
      </c>
    </row>
    <row r="142" spans="1:10" x14ac:dyDescent="0.35">
      <c r="A142" s="12">
        <f t="shared" si="9"/>
        <v>3</v>
      </c>
      <c r="B142" s="12" t="str">
        <f t="shared" si="10"/>
        <v>Jan2025</v>
      </c>
      <c r="C142" s="12" t="str">
        <f t="shared" si="11"/>
        <v>Friday</v>
      </c>
      <c r="D142" s="13">
        <v>45674</v>
      </c>
      <c r="E142" s="14">
        <v>22</v>
      </c>
      <c r="F142" s="12">
        <v>10590311422</v>
      </c>
      <c r="G142" s="14" t="s">
        <v>3</v>
      </c>
      <c r="H142" s="14" t="s">
        <v>61</v>
      </c>
      <c r="I142" s="16" t="s">
        <v>16</v>
      </c>
      <c r="J142" s="14" t="str">
        <f t="shared" ca="1" si="8"/>
        <v>Yes</v>
      </c>
    </row>
    <row r="143" spans="1:10" x14ac:dyDescent="0.35">
      <c r="A143" s="12">
        <f t="shared" si="9"/>
        <v>3</v>
      </c>
      <c r="B143" s="12" t="str">
        <f t="shared" si="10"/>
        <v>Jan2025</v>
      </c>
      <c r="C143" s="12" t="str">
        <f t="shared" si="11"/>
        <v>Friday</v>
      </c>
      <c r="D143" s="13">
        <v>45674</v>
      </c>
      <c r="E143" s="14">
        <v>23</v>
      </c>
      <c r="F143" s="12">
        <v>10715495522</v>
      </c>
      <c r="G143" s="14" t="s">
        <v>4</v>
      </c>
      <c r="H143" s="14" t="s">
        <v>61</v>
      </c>
      <c r="I143" s="16" t="s">
        <v>112</v>
      </c>
      <c r="J143" s="14" t="str">
        <f t="shared" ca="1" si="8"/>
        <v>No</v>
      </c>
    </row>
    <row r="144" spans="1:10" x14ac:dyDescent="0.35">
      <c r="A144" s="12">
        <f t="shared" si="9"/>
        <v>3</v>
      </c>
      <c r="B144" s="12" t="str">
        <f t="shared" si="10"/>
        <v>Jan2025</v>
      </c>
      <c r="C144" s="12" t="str">
        <f t="shared" si="11"/>
        <v>Friday</v>
      </c>
      <c r="D144" s="13">
        <v>45674</v>
      </c>
      <c r="E144" s="14">
        <v>24</v>
      </c>
      <c r="F144" s="12">
        <v>10705681592</v>
      </c>
      <c r="G144" s="14" t="s">
        <v>4</v>
      </c>
      <c r="H144" s="14" t="s">
        <v>11</v>
      </c>
      <c r="I144" s="16" t="s">
        <v>32</v>
      </c>
      <c r="J144" s="14" t="str">
        <f t="shared" ca="1" si="8"/>
        <v>No</v>
      </c>
    </row>
    <row r="145" spans="1:10" x14ac:dyDescent="0.35">
      <c r="A145" s="12">
        <f t="shared" si="9"/>
        <v>3</v>
      </c>
      <c r="B145" s="12" t="str">
        <f t="shared" si="10"/>
        <v>Jan2025</v>
      </c>
      <c r="C145" s="12" t="str">
        <f t="shared" si="11"/>
        <v>Saturday</v>
      </c>
      <c r="D145" s="13">
        <v>45675</v>
      </c>
      <c r="E145" s="14">
        <v>1</v>
      </c>
      <c r="F145" s="12">
        <v>10711298442</v>
      </c>
      <c r="G145" s="14" t="s">
        <v>3</v>
      </c>
      <c r="H145" s="14" t="s">
        <v>21</v>
      </c>
      <c r="I145" s="16" t="s">
        <v>16</v>
      </c>
      <c r="J145" s="14" t="str">
        <f t="shared" ca="1" si="8"/>
        <v>No</v>
      </c>
    </row>
    <row r="146" spans="1:10" x14ac:dyDescent="0.35">
      <c r="A146" s="12">
        <f t="shared" si="9"/>
        <v>3</v>
      </c>
      <c r="B146" s="12" t="str">
        <f t="shared" si="10"/>
        <v>Jan2025</v>
      </c>
      <c r="C146" s="12" t="str">
        <f t="shared" si="11"/>
        <v>Saturday</v>
      </c>
      <c r="D146" s="13">
        <v>45675</v>
      </c>
      <c r="E146" s="14">
        <v>2</v>
      </c>
      <c r="F146" s="12">
        <v>10706987982</v>
      </c>
      <c r="G146" s="14" t="s">
        <v>4</v>
      </c>
      <c r="H146" s="14" t="s">
        <v>21</v>
      </c>
      <c r="I146" s="16" t="s">
        <v>24</v>
      </c>
      <c r="J146" s="14" t="str">
        <f t="shared" ca="1" si="8"/>
        <v>No</v>
      </c>
    </row>
    <row r="147" spans="1:10" x14ac:dyDescent="0.35">
      <c r="A147" s="12">
        <f t="shared" si="9"/>
        <v>3</v>
      </c>
      <c r="B147" s="12" t="str">
        <f t="shared" si="10"/>
        <v>Jan2025</v>
      </c>
      <c r="C147" s="12" t="str">
        <f t="shared" si="11"/>
        <v>Saturday</v>
      </c>
      <c r="D147" s="13">
        <v>45675</v>
      </c>
      <c r="E147" s="14">
        <v>3</v>
      </c>
      <c r="F147" s="12">
        <v>10706527692</v>
      </c>
      <c r="G147" s="14" t="s">
        <v>5</v>
      </c>
      <c r="H147" s="14" t="s">
        <v>21</v>
      </c>
      <c r="I147" s="16" t="s">
        <v>36</v>
      </c>
      <c r="J147" s="14" t="str">
        <f t="shared" ca="1" si="8"/>
        <v>No</v>
      </c>
    </row>
    <row r="148" spans="1:10" x14ac:dyDescent="0.35">
      <c r="A148" s="12">
        <f t="shared" si="9"/>
        <v>3</v>
      </c>
      <c r="B148" s="12" t="str">
        <f t="shared" si="10"/>
        <v>Jan2025</v>
      </c>
      <c r="C148" s="12" t="str">
        <f t="shared" si="11"/>
        <v>Saturday</v>
      </c>
      <c r="D148" s="13">
        <v>45675</v>
      </c>
      <c r="E148" s="14">
        <v>4</v>
      </c>
      <c r="F148" s="12">
        <v>10707416862</v>
      </c>
      <c r="G148" s="14" t="s">
        <v>4</v>
      </c>
      <c r="H148" s="14" t="s">
        <v>21</v>
      </c>
      <c r="I148" s="16" t="s">
        <v>24</v>
      </c>
      <c r="J148" s="14" t="str">
        <f t="shared" ca="1" si="8"/>
        <v>No</v>
      </c>
    </row>
    <row r="149" spans="1:10" x14ac:dyDescent="0.35">
      <c r="A149" s="12">
        <f t="shared" si="9"/>
        <v>3</v>
      </c>
      <c r="B149" s="12" t="str">
        <f t="shared" si="10"/>
        <v>Jan2025</v>
      </c>
      <c r="C149" s="12" t="str">
        <f t="shared" si="11"/>
        <v>Saturday</v>
      </c>
      <c r="D149" s="13">
        <v>45675</v>
      </c>
      <c r="E149" s="14">
        <v>5</v>
      </c>
      <c r="F149" s="12">
        <v>10717979842</v>
      </c>
      <c r="G149" s="14" t="s">
        <v>4</v>
      </c>
      <c r="H149" s="14" t="s">
        <v>11</v>
      </c>
      <c r="I149" s="16" t="s">
        <v>38</v>
      </c>
      <c r="J149" s="14" t="str">
        <f t="shared" ca="1" si="8"/>
        <v>No</v>
      </c>
    </row>
    <row r="150" spans="1:10" x14ac:dyDescent="0.35">
      <c r="A150" s="12">
        <f t="shared" si="9"/>
        <v>3</v>
      </c>
      <c r="B150" s="12" t="str">
        <f t="shared" si="10"/>
        <v>Jan2025</v>
      </c>
      <c r="C150" s="12" t="str">
        <f t="shared" si="11"/>
        <v>Saturday</v>
      </c>
      <c r="D150" s="13">
        <v>45675</v>
      </c>
      <c r="E150" s="14">
        <v>6</v>
      </c>
      <c r="F150" s="12">
        <v>10712723252</v>
      </c>
      <c r="G150" s="14" t="s">
        <v>4</v>
      </c>
      <c r="H150" s="14" t="s">
        <v>21</v>
      </c>
      <c r="I150" s="16" t="s">
        <v>64</v>
      </c>
      <c r="J150" s="14" t="str">
        <f t="shared" ca="1" si="8"/>
        <v>Yes</v>
      </c>
    </row>
    <row r="151" spans="1:10" x14ac:dyDescent="0.35">
      <c r="A151" s="12">
        <f t="shared" si="9"/>
        <v>3</v>
      </c>
      <c r="B151" s="12" t="str">
        <f t="shared" si="10"/>
        <v>Jan2025</v>
      </c>
      <c r="C151" s="12" t="str">
        <f t="shared" si="11"/>
        <v>Saturday</v>
      </c>
      <c r="D151" s="13">
        <v>45675</v>
      </c>
      <c r="E151" s="14">
        <v>7</v>
      </c>
      <c r="F151" s="12">
        <v>10718038222</v>
      </c>
      <c r="G151" s="14" t="s">
        <v>4</v>
      </c>
      <c r="H151" s="14" t="s">
        <v>11</v>
      </c>
      <c r="I151" s="16" t="s">
        <v>12</v>
      </c>
      <c r="J151" s="14" t="str">
        <f t="shared" ca="1" si="8"/>
        <v>No</v>
      </c>
    </row>
    <row r="152" spans="1:10" s="1" customFormat="1" ht="14.5" customHeight="1" x14ac:dyDescent="0.35">
      <c r="A152" s="12">
        <f t="shared" si="9"/>
        <v>3</v>
      </c>
      <c r="B152" s="12" t="str">
        <f t="shared" si="10"/>
        <v>Jan2025</v>
      </c>
      <c r="C152" s="12" t="str">
        <f t="shared" si="11"/>
        <v>Saturday</v>
      </c>
      <c r="D152" s="13">
        <v>45675</v>
      </c>
      <c r="E152" s="18">
        <v>8</v>
      </c>
      <c r="F152" s="19">
        <v>10676644972</v>
      </c>
      <c r="G152" s="18" t="s">
        <v>3</v>
      </c>
      <c r="H152" s="18" t="s">
        <v>11</v>
      </c>
      <c r="I152" s="17" t="s">
        <v>253</v>
      </c>
      <c r="J152" s="14" t="str">
        <f t="shared" ca="1" si="8"/>
        <v>No</v>
      </c>
    </row>
    <row r="153" spans="1:10" x14ac:dyDescent="0.35">
      <c r="A153" s="12">
        <f t="shared" si="9"/>
        <v>3</v>
      </c>
      <c r="B153" s="12" t="str">
        <f t="shared" si="10"/>
        <v>Jan2025</v>
      </c>
      <c r="C153" s="12" t="str">
        <f t="shared" si="11"/>
        <v>Saturday</v>
      </c>
      <c r="D153" s="13">
        <v>45675</v>
      </c>
      <c r="E153" s="14">
        <v>9</v>
      </c>
      <c r="F153" s="12">
        <v>10717227622</v>
      </c>
      <c r="G153" s="14" t="s">
        <v>4</v>
      </c>
      <c r="H153" s="14" t="s">
        <v>11</v>
      </c>
      <c r="I153" s="16" t="s">
        <v>32</v>
      </c>
      <c r="J153" s="14" t="str">
        <f t="shared" ca="1" si="8"/>
        <v>No</v>
      </c>
    </row>
    <row r="154" spans="1:10" x14ac:dyDescent="0.35">
      <c r="A154" s="12">
        <f t="shared" si="9"/>
        <v>3</v>
      </c>
      <c r="B154" s="12" t="str">
        <f t="shared" si="10"/>
        <v>Jan2025</v>
      </c>
      <c r="C154" s="12" t="str">
        <f t="shared" si="11"/>
        <v>Saturday</v>
      </c>
      <c r="D154" s="13">
        <v>45675</v>
      </c>
      <c r="E154" s="14">
        <v>10</v>
      </c>
      <c r="F154" s="12">
        <v>10481645332</v>
      </c>
      <c r="G154" s="14" t="s">
        <v>3</v>
      </c>
      <c r="H154" s="14" t="s">
        <v>11</v>
      </c>
      <c r="I154" s="16" t="s">
        <v>16</v>
      </c>
      <c r="J154" s="14" t="str">
        <f t="shared" ca="1" si="8"/>
        <v>Yes</v>
      </c>
    </row>
    <row r="155" spans="1:10" x14ac:dyDescent="0.35">
      <c r="A155" s="12">
        <f t="shared" si="9"/>
        <v>3</v>
      </c>
      <c r="B155" s="12" t="str">
        <f t="shared" si="10"/>
        <v>Jan2025</v>
      </c>
      <c r="C155" s="12" t="str">
        <f t="shared" si="11"/>
        <v>Saturday</v>
      </c>
      <c r="D155" s="13">
        <v>45675</v>
      </c>
      <c r="E155" s="14">
        <v>11</v>
      </c>
      <c r="F155" s="12">
        <v>10717774582</v>
      </c>
      <c r="G155" s="14" t="s">
        <v>4</v>
      </c>
      <c r="H155" s="14" t="s">
        <v>11</v>
      </c>
      <c r="I155" s="16" t="s">
        <v>32</v>
      </c>
      <c r="J155" s="14" t="str">
        <f t="shared" ca="1" si="8"/>
        <v>Yes</v>
      </c>
    </row>
    <row r="156" spans="1:10" x14ac:dyDescent="0.35">
      <c r="A156" s="12">
        <f t="shared" si="9"/>
        <v>3</v>
      </c>
      <c r="B156" s="12" t="str">
        <f t="shared" si="10"/>
        <v>Jan2025</v>
      </c>
      <c r="C156" s="12" t="str">
        <f t="shared" si="11"/>
        <v>Saturday</v>
      </c>
      <c r="D156" s="13">
        <v>45675</v>
      </c>
      <c r="E156" s="14">
        <v>12</v>
      </c>
      <c r="F156" s="12">
        <v>10712690702</v>
      </c>
      <c r="G156" s="14" t="s">
        <v>4</v>
      </c>
      <c r="H156" s="14" t="s">
        <v>21</v>
      </c>
      <c r="I156" s="16" t="s">
        <v>31</v>
      </c>
      <c r="J156" s="14" t="str">
        <f t="shared" ca="1" si="8"/>
        <v>No</v>
      </c>
    </row>
    <row r="157" spans="1:10" x14ac:dyDescent="0.35">
      <c r="A157" s="12">
        <f t="shared" si="9"/>
        <v>3</v>
      </c>
      <c r="B157" s="12" t="str">
        <f t="shared" si="10"/>
        <v>Jan2025</v>
      </c>
      <c r="C157" s="12" t="str">
        <f t="shared" si="11"/>
        <v>Saturday</v>
      </c>
      <c r="D157" s="13">
        <v>45675</v>
      </c>
      <c r="E157" s="14">
        <v>13</v>
      </c>
      <c r="F157" s="12">
        <v>10717391652</v>
      </c>
      <c r="G157" s="14" t="s">
        <v>4</v>
      </c>
      <c r="H157" s="14" t="s">
        <v>11</v>
      </c>
      <c r="I157" s="16" t="s">
        <v>92</v>
      </c>
      <c r="J157" s="14" t="str">
        <f t="shared" ca="1" si="8"/>
        <v>No</v>
      </c>
    </row>
    <row r="158" spans="1:10" x14ac:dyDescent="0.35">
      <c r="A158" s="12">
        <f t="shared" si="9"/>
        <v>3</v>
      </c>
      <c r="B158" s="12" t="str">
        <f t="shared" si="10"/>
        <v>Jan2025</v>
      </c>
      <c r="C158" s="12" t="str">
        <f t="shared" si="11"/>
        <v>Saturday</v>
      </c>
      <c r="D158" s="13">
        <v>45675</v>
      </c>
      <c r="E158" s="14">
        <v>14</v>
      </c>
      <c r="F158" s="12">
        <v>10717774022</v>
      </c>
      <c r="G158" s="14" t="s">
        <v>5</v>
      </c>
      <c r="H158" s="14" t="s">
        <v>61</v>
      </c>
      <c r="I158" s="16" t="s">
        <v>116</v>
      </c>
      <c r="J158" s="14" t="str">
        <f t="shared" ca="1" si="8"/>
        <v>No</v>
      </c>
    </row>
    <row r="159" spans="1:10" x14ac:dyDescent="0.35">
      <c r="A159" s="12">
        <f t="shared" si="9"/>
        <v>3</v>
      </c>
      <c r="B159" s="12" t="str">
        <f t="shared" si="10"/>
        <v>Jan2025</v>
      </c>
      <c r="C159" s="12" t="str">
        <f t="shared" si="11"/>
        <v>Saturday</v>
      </c>
      <c r="D159" s="13">
        <v>45675</v>
      </c>
      <c r="E159" s="14">
        <v>15</v>
      </c>
      <c r="F159" s="12">
        <v>10711842112</v>
      </c>
      <c r="G159" s="14" t="s">
        <v>3</v>
      </c>
      <c r="H159" s="14" t="s">
        <v>11</v>
      </c>
      <c r="I159" s="16" t="s">
        <v>16</v>
      </c>
      <c r="J159" s="14" t="str">
        <f t="shared" ca="1" si="8"/>
        <v>No</v>
      </c>
    </row>
    <row r="160" spans="1:10" x14ac:dyDescent="0.35">
      <c r="A160" s="12">
        <f t="shared" si="9"/>
        <v>3</v>
      </c>
      <c r="B160" s="12" t="str">
        <f t="shared" si="10"/>
        <v>Jan2025</v>
      </c>
      <c r="C160" s="12" t="str">
        <f t="shared" si="11"/>
        <v>Saturday</v>
      </c>
      <c r="D160" s="13">
        <v>45675</v>
      </c>
      <c r="E160" s="14">
        <v>16</v>
      </c>
      <c r="F160" s="12">
        <v>10717766872</v>
      </c>
      <c r="G160" s="14" t="s">
        <v>4</v>
      </c>
      <c r="H160" s="14" t="s">
        <v>11</v>
      </c>
      <c r="I160" s="16" t="s">
        <v>92</v>
      </c>
      <c r="J160" s="14" t="str">
        <f t="shared" ca="1" si="8"/>
        <v>Yes</v>
      </c>
    </row>
    <row r="161" spans="1:10" x14ac:dyDescent="0.35">
      <c r="A161" s="12">
        <f t="shared" si="9"/>
        <v>3</v>
      </c>
      <c r="B161" s="12" t="str">
        <f t="shared" si="10"/>
        <v>Jan2025</v>
      </c>
      <c r="C161" s="12" t="str">
        <f t="shared" si="11"/>
        <v>Saturday</v>
      </c>
      <c r="D161" s="13">
        <v>45675</v>
      </c>
      <c r="E161" s="14">
        <v>17</v>
      </c>
      <c r="F161" s="12">
        <v>10717142642</v>
      </c>
      <c r="G161" s="14" t="s">
        <v>4</v>
      </c>
      <c r="H161" s="14" t="s">
        <v>11</v>
      </c>
      <c r="I161" s="16" t="s">
        <v>92</v>
      </c>
      <c r="J161" s="14" t="str">
        <f t="shared" ca="1" si="8"/>
        <v>No</v>
      </c>
    </row>
    <row r="162" spans="1:10" x14ac:dyDescent="0.35">
      <c r="A162" s="12">
        <f t="shared" si="9"/>
        <v>3</v>
      </c>
      <c r="B162" s="12" t="str">
        <f t="shared" si="10"/>
        <v>Jan2025</v>
      </c>
      <c r="C162" s="12" t="str">
        <f t="shared" si="11"/>
        <v>Saturday</v>
      </c>
      <c r="D162" s="13">
        <v>45675</v>
      </c>
      <c r="E162" s="14">
        <v>18</v>
      </c>
      <c r="F162" s="12">
        <v>10717940732</v>
      </c>
      <c r="G162" s="14" t="s">
        <v>4</v>
      </c>
      <c r="H162" s="14" t="s">
        <v>61</v>
      </c>
      <c r="I162" s="16" t="s">
        <v>146</v>
      </c>
      <c r="J162" s="14" t="str">
        <f t="shared" ca="1" si="8"/>
        <v>No</v>
      </c>
    </row>
    <row r="163" spans="1:10" x14ac:dyDescent="0.35">
      <c r="A163" s="12">
        <f t="shared" si="9"/>
        <v>3</v>
      </c>
      <c r="B163" s="12" t="str">
        <f t="shared" si="10"/>
        <v>Jan2025</v>
      </c>
      <c r="C163" s="12" t="str">
        <f t="shared" si="11"/>
        <v>Saturday</v>
      </c>
      <c r="D163" s="13">
        <v>45675</v>
      </c>
      <c r="E163" s="14">
        <v>19</v>
      </c>
      <c r="F163" s="12">
        <v>10716400052</v>
      </c>
      <c r="G163" s="14" t="s">
        <v>7</v>
      </c>
      <c r="H163" s="14" t="s">
        <v>61</v>
      </c>
      <c r="I163" s="16" t="s">
        <v>11</v>
      </c>
      <c r="J163" s="14" t="str">
        <f t="shared" ca="1" si="8"/>
        <v>No</v>
      </c>
    </row>
    <row r="164" spans="1:10" x14ac:dyDescent="0.35">
      <c r="A164" s="12">
        <f t="shared" si="9"/>
        <v>3</v>
      </c>
      <c r="B164" s="12" t="str">
        <f t="shared" si="10"/>
        <v>Jan2025</v>
      </c>
      <c r="C164" s="12" t="str">
        <f t="shared" si="11"/>
        <v>Saturday</v>
      </c>
      <c r="D164" s="13">
        <v>45675</v>
      </c>
      <c r="E164" s="14">
        <v>20</v>
      </c>
      <c r="F164" s="12">
        <v>10717801982</v>
      </c>
      <c r="G164" s="14" t="s">
        <v>5</v>
      </c>
      <c r="H164" s="14" t="s">
        <v>21</v>
      </c>
      <c r="I164" s="16" t="s">
        <v>51</v>
      </c>
      <c r="J164" s="14" t="str">
        <f t="shared" ca="1" si="8"/>
        <v>No</v>
      </c>
    </row>
    <row r="165" spans="1:10" x14ac:dyDescent="0.35">
      <c r="A165" s="12">
        <f t="shared" si="9"/>
        <v>3</v>
      </c>
      <c r="B165" s="12" t="str">
        <f t="shared" si="10"/>
        <v>Jan2025</v>
      </c>
      <c r="C165" s="12" t="str">
        <f t="shared" si="11"/>
        <v>Saturday</v>
      </c>
      <c r="D165" s="13">
        <v>45675</v>
      </c>
      <c r="E165" s="14">
        <v>21</v>
      </c>
      <c r="F165" s="12">
        <v>10716916222</v>
      </c>
      <c r="G165" s="14" t="s">
        <v>3</v>
      </c>
      <c r="H165" s="14" t="s">
        <v>11</v>
      </c>
      <c r="I165" s="16" t="s">
        <v>19</v>
      </c>
      <c r="J165" s="14" t="str">
        <f t="shared" ca="1" si="8"/>
        <v>No</v>
      </c>
    </row>
    <row r="166" spans="1:10" x14ac:dyDescent="0.35">
      <c r="A166" s="12">
        <f t="shared" si="9"/>
        <v>3</v>
      </c>
      <c r="B166" s="12" t="str">
        <f t="shared" si="10"/>
        <v>Jan2025</v>
      </c>
      <c r="C166" s="12" t="str">
        <f t="shared" si="11"/>
        <v>Saturday</v>
      </c>
      <c r="D166" s="13">
        <v>45675</v>
      </c>
      <c r="E166" s="14">
        <v>22</v>
      </c>
      <c r="F166" s="12">
        <v>10718148432</v>
      </c>
      <c r="G166" s="14" t="s">
        <v>4</v>
      </c>
      <c r="H166" s="14" t="s">
        <v>11</v>
      </c>
      <c r="I166" s="16" t="s">
        <v>92</v>
      </c>
      <c r="J166" s="14" t="str">
        <f t="shared" ca="1" si="8"/>
        <v>No</v>
      </c>
    </row>
    <row r="167" spans="1:10" x14ac:dyDescent="0.35">
      <c r="A167" s="12">
        <f t="shared" si="9"/>
        <v>3</v>
      </c>
      <c r="B167" s="12" t="str">
        <f t="shared" si="10"/>
        <v>Jan2025</v>
      </c>
      <c r="C167" s="12" t="str">
        <f t="shared" si="11"/>
        <v>Saturday</v>
      </c>
      <c r="D167" s="13">
        <v>45675</v>
      </c>
      <c r="E167" s="14">
        <v>23</v>
      </c>
      <c r="F167" s="12">
        <v>10718177212</v>
      </c>
      <c r="G167" s="14" t="s">
        <v>5</v>
      </c>
      <c r="H167" s="14" t="s">
        <v>61</v>
      </c>
      <c r="I167" s="16" t="s">
        <v>110</v>
      </c>
      <c r="J167" s="14" t="str">
        <f t="shared" ca="1" si="8"/>
        <v>No</v>
      </c>
    </row>
    <row r="168" spans="1:10" ht="14" customHeight="1" x14ac:dyDescent="0.35">
      <c r="A168" s="12">
        <f t="shared" si="9"/>
        <v>4</v>
      </c>
      <c r="B168" s="12" t="str">
        <f t="shared" si="10"/>
        <v>Jan2025</v>
      </c>
      <c r="C168" s="12" t="str">
        <f t="shared" si="11"/>
        <v>Tuesday</v>
      </c>
      <c r="D168" s="13">
        <v>45678</v>
      </c>
      <c r="E168" s="14">
        <v>1</v>
      </c>
      <c r="F168" s="12">
        <v>10713992762</v>
      </c>
      <c r="G168" s="14" t="s">
        <v>5</v>
      </c>
      <c r="H168" s="14" t="s">
        <v>21</v>
      </c>
      <c r="I168" s="16" t="s">
        <v>46</v>
      </c>
      <c r="J168" s="14" t="str">
        <f t="shared" ca="1" si="8"/>
        <v>No</v>
      </c>
    </row>
    <row r="169" spans="1:10" x14ac:dyDescent="0.35">
      <c r="A169" s="12">
        <f t="shared" si="9"/>
        <v>4</v>
      </c>
      <c r="B169" s="12" t="str">
        <f t="shared" si="10"/>
        <v>Jan2025</v>
      </c>
      <c r="C169" s="12" t="str">
        <f t="shared" si="11"/>
        <v>Tuesday</v>
      </c>
      <c r="D169" s="13">
        <v>45678</v>
      </c>
      <c r="E169" s="14">
        <v>2</v>
      </c>
      <c r="F169" s="12">
        <v>10715197812</v>
      </c>
      <c r="G169" s="14" t="s">
        <v>3</v>
      </c>
      <c r="H169" s="14" t="s">
        <v>11</v>
      </c>
      <c r="I169" s="16" t="s">
        <v>16</v>
      </c>
      <c r="J169" s="14" t="str">
        <f t="shared" ca="1" si="8"/>
        <v>No</v>
      </c>
    </row>
    <row r="170" spans="1:10" x14ac:dyDescent="0.35">
      <c r="A170" s="12">
        <f t="shared" si="9"/>
        <v>4</v>
      </c>
      <c r="B170" s="12" t="str">
        <f t="shared" si="10"/>
        <v>Jan2025</v>
      </c>
      <c r="C170" s="12" t="str">
        <f t="shared" si="11"/>
        <v>Tuesday</v>
      </c>
      <c r="D170" s="13">
        <v>45678</v>
      </c>
      <c r="E170" s="14">
        <v>3</v>
      </c>
      <c r="F170" s="12">
        <v>10723808572</v>
      </c>
      <c r="G170" s="14" t="s">
        <v>4</v>
      </c>
      <c r="H170" s="14" t="s">
        <v>11</v>
      </c>
      <c r="I170" s="16" t="s">
        <v>32</v>
      </c>
      <c r="J170" s="14" t="str">
        <f t="shared" ca="1" si="8"/>
        <v>Yes</v>
      </c>
    </row>
    <row r="171" spans="1:10" x14ac:dyDescent="0.35">
      <c r="A171" s="12">
        <f t="shared" si="9"/>
        <v>4</v>
      </c>
      <c r="B171" s="12" t="str">
        <f t="shared" si="10"/>
        <v>Jan2025</v>
      </c>
      <c r="C171" s="12" t="str">
        <f t="shared" si="11"/>
        <v>Tuesday</v>
      </c>
      <c r="D171" s="13">
        <v>45678</v>
      </c>
      <c r="E171" s="14">
        <v>4</v>
      </c>
      <c r="F171" s="12">
        <v>10705379012</v>
      </c>
      <c r="G171" s="14" t="s">
        <v>4</v>
      </c>
      <c r="H171" s="14" t="s">
        <v>21</v>
      </c>
      <c r="I171" s="16" t="s">
        <v>31</v>
      </c>
      <c r="J171" s="14" t="str">
        <f t="shared" ca="1" si="8"/>
        <v>No</v>
      </c>
    </row>
    <row r="172" spans="1:10" x14ac:dyDescent="0.35">
      <c r="A172" s="12">
        <f t="shared" si="9"/>
        <v>4</v>
      </c>
      <c r="B172" s="12" t="str">
        <f t="shared" si="10"/>
        <v>Jan2025</v>
      </c>
      <c r="C172" s="12" t="str">
        <f t="shared" si="11"/>
        <v>Tuesday</v>
      </c>
      <c r="D172" s="13">
        <v>45678</v>
      </c>
      <c r="E172" s="14">
        <v>5</v>
      </c>
      <c r="F172" s="12">
        <v>10724456112</v>
      </c>
      <c r="G172" s="14" t="s">
        <v>4</v>
      </c>
      <c r="H172" s="14" t="s">
        <v>11</v>
      </c>
      <c r="I172" s="16" t="s">
        <v>32</v>
      </c>
      <c r="J172" s="14" t="str">
        <f t="shared" ca="1" si="8"/>
        <v>Yes</v>
      </c>
    </row>
    <row r="173" spans="1:10" x14ac:dyDescent="0.35">
      <c r="A173" s="12">
        <f t="shared" si="9"/>
        <v>4</v>
      </c>
      <c r="B173" s="12" t="str">
        <f t="shared" si="10"/>
        <v>Jan2025</v>
      </c>
      <c r="C173" s="12" t="str">
        <f t="shared" si="11"/>
        <v>Tuesday</v>
      </c>
      <c r="D173" s="13">
        <v>45678</v>
      </c>
      <c r="E173" s="14">
        <v>6</v>
      </c>
      <c r="F173" s="12">
        <v>10725080472</v>
      </c>
      <c r="G173" s="14" t="s">
        <v>4</v>
      </c>
      <c r="H173" s="14" t="s">
        <v>11</v>
      </c>
      <c r="I173" s="16" t="s">
        <v>92</v>
      </c>
      <c r="J173" s="14" t="str">
        <f t="shared" ca="1" si="8"/>
        <v>No</v>
      </c>
    </row>
    <row r="174" spans="1:10" x14ac:dyDescent="0.35">
      <c r="A174" s="12">
        <f t="shared" si="9"/>
        <v>4</v>
      </c>
      <c r="B174" s="12" t="str">
        <f t="shared" si="10"/>
        <v>Jan2025</v>
      </c>
      <c r="C174" s="12" t="str">
        <f t="shared" si="11"/>
        <v>Tuesday</v>
      </c>
      <c r="D174" s="13">
        <v>45678</v>
      </c>
      <c r="E174" s="14">
        <v>7</v>
      </c>
      <c r="F174" s="12">
        <v>10723443142</v>
      </c>
      <c r="G174" s="14" t="s">
        <v>4</v>
      </c>
      <c r="H174" s="14" t="s">
        <v>11</v>
      </c>
      <c r="I174" s="16" t="s">
        <v>92</v>
      </c>
      <c r="J174" s="14" t="str">
        <f t="shared" ca="1" si="8"/>
        <v>No</v>
      </c>
    </row>
    <row r="175" spans="1:10" x14ac:dyDescent="0.35">
      <c r="A175" s="12">
        <f t="shared" si="9"/>
        <v>4</v>
      </c>
      <c r="B175" s="12" t="str">
        <f t="shared" si="10"/>
        <v>Jan2025</v>
      </c>
      <c r="C175" s="12" t="str">
        <f t="shared" si="11"/>
        <v>Tuesday</v>
      </c>
      <c r="D175" s="13">
        <v>45678</v>
      </c>
      <c r="E175" s="14">
        <v>8</v>
      </c>
      <c r="F175" s="12">
        <v>10724356382</v>
      </c>
      <c r="G175" s="14" t="s">
        <v>4</v>
      </c>
      <c r="H175" s="14" t="s">
        <v>21</v>
      </c>
      <c r="I175" s="16" t="s">
        <v>76</v>
      </c>
      <c r="J175" s="14" t="str">
        <f t="shared" ca="1" si="8"/>
        <v>No</v>
      </c>
    </row>
    <row r="176" spans="1:10" x14ac:dyDescent="0.35">
      <c r="A176" s="12">
        <f t="shared" si="9"/>
        <v>4</v>
      </c>
      <c r="B176" s="12" t="str">
        <f t="shared" si="10"/>
        <v>Jan2025</v>
      </c>
      <c r="C176" s="12" t="str">
        <f t="shared" si="11"/>
        <v>Tuesday</v>
      </c>
      <c r="D176" s="13">
        <v>45678</v>
      </c>
      <c r="E176" s="14">
        <v>9</v>
      </c>
      <c r="F176" s="12">
        <v>10723506932</v>
      </c>
      <c r="G176" s="14" t="s">
        <v>4</v>
      </c>
      <c r="H176" s="14" t="s">
        <v>21</v>
      </c>
      <c r="I176" s="16" t="s">
        <v>76</v>
      </c>
      <c r="J176" s="14" t="str">
        <f t="shared" ca="1" si="8"/>
        <v>Yes</v>
      </c>
    </row>
    <row r="177" spans="1:10" x14ac:dyDescent="0.35">
      <c r="A177" s="12">
        <f t="shared" si="9"/>
        <v>4</v>
      </c>
      <c r="B177" s="12" t="str">
        <f t="shared" si="10"/>
        <v>Jan2025</v>
      </c>
      <c r="C177" s="12" t="str">
        <f t="shared" si="11"/>
        <v>Tuesday</v>
      </c>
      <c r="D177" s="13">
        <v>45678</v>
      </c>
      <c r="E177" s="14">
        <v>10</v>
      </c>
      <c r="F177" s="12">
        <v>10719520122</v>
      </c>
      <c r="G177" s="14" t="s">
        <v>4</v>
      </c>
      <c r="H177" s="14" t="s">
        <v>11</v>
      </c>
      <c r="I177" s="16" t="s">
        <v>32</v>
      </c>
      <c r="J177" s="14" t="str">
        <f t="shared" ca="1" si="8"/>
        <v>No</v>
      </c>
    </row>
    <row r="178" spans="1:10" x14ac:dyDescent="0.35">
      <c r="A178" s="12">
        <f t="shared" si="9"/>
        <v>4</v>
      </c>
      <c r="B178" s="12" t="str">
        <f t="shared" si="10"/>
        <v>Jan2025</v>
      </c>
      <c r="C178" s="12" t="str">
        <f t="shared" si="11"/>
        <v>Tuesday</v>
      </c>
      <c r="D178" s="13">
        <v>45678</v>
      </c>
      <c r="E178" s="14">
        <v>11</v>
      </c>
      <c r="F178" s="12">
        <v>10724391312</v>
      </c>
      <c r="G178" s="14" t="s">
        <v>4</v>
      </c>
      <c r="H178" s="14" t="s">
        <v>11</v>
      </c>
      <c r="I178" s="16" t="s">
        <v>38</v>
      </c>
      <c r="J178" s="14" t="str">
        <f t="shared" ca="1" si="8"/>
        <v>No</v>
      </c>
    </row>
    <row r="179" spans="1:10" x14ac:dyDescent="0.35">
      <c r="A179" s="12">
        <f t="shared" si="9"/>
        <v>4</v>
      </c>
      <c r="B179" s="12" t="str">
        <f t="shared" si="10"/>
        <v>Jan2025</v>
      </c>
      <c r="C179" s="12" t="str">
        <f t="shared" si="11"/>
        <v>Tuesday</v>
      </c>
      <c r="D179" s="13">
        <v>45678</v>
      </c>
      <c r="E179" s="14">
        <v>12</v>
      </c>
      <c r="F179" s="12">
        <v>10724600742</v>
      </c>
      <c r="G179" s="14" t="s">
        <v>5</v>
      </c>
      <c r="H179" s="14" t="s">
        <v>11</v>
      </c>
      <c r="I179" s="16" t="s">
        <v>92</v>
      </c>
      <c r="J179" s="14" t="str">
        <f t="shared" ca="1" si="8"/>
        <v>No</v>
      </c>
    </row>
    <row r="180" spans="1:10" x14ac:dyDescent="0.35">
      <c r="A180" s="12">
        <f t="shared" si="9"/>
        <v>4</v>
      </c>
      <c r="B180" s="12" t="str">
        <f t="shared" si="10"/>
        <v>Jan2025</v>
      </c>
      <c r="C180" s="12" t="str">
        <f t="shared" si="11"/>
        <v>Tuesday</v>
      </c>
      <c r="D180" s="13">
        <v>45678</v>
      </c>
      <c r="E180" s="14">
        <v>13</v>
      </c>
      <c r="F180" s="12">
        <v>10724994882</v>
      </c>
      <c r="G180" s="14" t="s">
        <v>4</v>
      </c>
      <c r="H180" s="14" t="s">
        <v>11</v>
      </c>
      <c r="I180" s="16" t="s">
        <v>147</v>
      </c>
      <c r="J180" s="14" t="str">
        <f t="shared" ca="1" si="8"/>
        <v>No</v>
      </c>
    </row>
    <row r="181" spans="1:10" s="1" customFormat="1" ht="14.5" customHeight="1" x14ac:dyDescent="0.35">
      <c r="A181" s="12">
        <f t="shared" si="9"/>
        <v>4</v>
      </c>
      <c r="B181" s="12" t="str">
        <f t="shared" si="10"/>
        <v>Jan2025</v>
      </c>
      <c r="C181" s="12" t="str">
        <f t="shared" si="11"/>
        <v>Tuesday</v>
      </c>
      <c r="D181" s="13">
        <v>45678</v>
      </c>
      <c r="E181" s="18">
        <v>14</v>
      </c>
      <c r="F181" s="19">
        <v>10701760422</v>
      </c>
      <c r="G181" s="18" t="s">
        <v>5</v>
      </c>
      <c r="H181" s="18" t="s">
        <v>21</v>
      </c>
      <c r="I181" s="17" t="s">
        <v>148</v>
      </c>
      <c r="J181" s="14" t="str">
        <f t="shared" ca="1" si="8"/>
        <v>No</v>
      </c>
    </row>
    <row r="182" spans="1:10" x14ac:dyDescent="0.35">
      <c r="A182" s="12">
        <f t="shared" si="9"/>
        <v>4</v>
      </c>
      <c r="B182" s="12" t="str">
        <f t="shared" si="10"/>
        <v>Jan2025</v>
      </c>
      <c r="C182" s="12" t="str">
        <f t="shared" si="11"/>
        <v>Tuesday</v>
      </c>
      <c r="D182" s="13">
        <v>45678</v>
      </c>
      <c r="E182" s="14">
        <v>15</v>
      </c>
      <c r="F182" s="12">
        <v>10724600742</v>
      </c>
      <c r="G182" s="14" t="s">
        <v>5</v>
      </c>
      <c r="H182" s="14" t="s">
        <v>11</v>
      </c>
      <c r="I182" s="16" t="s">
        <v>92</v>
      </c>
      <c r="J182" s="14" t="str">
        <f t="shared" ca="1" si="8"/>
        <v>No</v>
      </c>
    </row>
    <row r="183" spans="1:10" x14ac:dyDescent="0.35">
      <c r="A183" s="12">
        <f t="shared" si="9"/>
        <v>4</v>
      </c>
      <c r="B183" s="12" t="str">
        <f t="shared" si="10"/>
        <v>Jan2025</v>
      </c>
      <c r="C183" s="12" t="str">
        <f t="shared" si="11"/>
        <v>Tuesday</v>
      </c>
      <c r="D183" s="13">
        <v>45678</v>
      </c>
      <c r="E183" s="14">
        <v>16</v>
      </c>
      <c r="F183" s="12">
        <v>10725111962</v>
      </c>
      <c r="G183" s="14" t="s">
        <v>4</v>
      </c>
      <c r="H183" s="14" t="s">
        <v>61</v>
      </c>
      <c r="I183" s="16" t="s">
        <v>99</v>
      </c>
      <c r="J183" s="14" t="str">
        <f t="shared" ca="1" si="8"/>
        <v>Yes</v>
      </c>
    </row>
    <row r="184" spans="1:10" x14ac:dyDescent="0.35">
      <c r="A184" s="12">
        <f t="shared" si="9"/>
        <v>4</v>
      </c>
      <c r="B184" s="12" t="str">
        <f t="shared" si="10"/>
        <v>Jan2025</v>
      </c>
      <c r="C184" s="12" t="str">
        <f t="shared" si="11"/>
        <v>Tuesday</v>
      </c>
      <c r="D184" s="13">
        <v>45678</v>
      </c>
      <c r="E184" s="14">
        <v>17</v>
      </c>
      <c r="F184" s="12">
        <v>10725285902</v>
      </c>
      <c r="G184" s="14" t="s">
        <v>7</v>
      </c>
      <c r="H184" s="14" t="s">
        <v>21</v>
      </c>
      <c r="I184" s="16" t="s">
        <v>58</v>
      </c>
      <c r="J184" s="14" t="str">
        <f t="shared" ca="1" si="8"/>
        <v>No</v>
      </c>
    </row>
    <row r="185" spans="1:10" x14ac:dyDescent="0.35">
      <c r="A185" s="12">
        <f t="shared" si="9"/>
        <v>4</v>
      </c>
      <c r="B185" s="12" t="str">
        <f t="shared" si="10"/>
        <v>Jan2025</v>
      </c>
      <c r="C185" s="12" t="str">
        <f t="shared" si="11"/>
        <v>Tuesday</v>
      </c>
      <c r="D185" s="13">
        <v>45678</v>
      </c>
      <c r="E185" s="14">
        <v>18</v>
      </c>
      <c r="F185" s="12">
        <v>10725770152</v>
      </c>
      <c r="G185" s="14" t="s">
        <v>7</v>
      </c>
      <c r="H185" s="14" t="s">
        <v>21</v>
      </c>
      <c r="I185" s="16" t="s">
        <v>149</v>
      </c>
      <c r="J185" s="14" t="str">
        <f t="shared" ca="1" si="8"/>
        <v>No</v>
      </c>
    </row>
    <row r="186" spans="1:10" x14ac:dyDescent="0.35">
      <c r="A186" s="12">
        <f t="shared" si="9"/>
        <v>4</v>
      </c>
      <c r="B186" s="12" t="str">
        <f t="shared" si="10"/>
        <v>Jan2025</v>
      </c>
      <c r="C186" s="12" t="str">
        <f t="shared" si="11"/>
        <v>Tuesday</v>
      </c>
      <c r="D186" s="13">
        <v>45678</v>
      </c>
      <c r="E186" s="14">
        <v>19</v>
      </c>
      <c r="F186" s="12">
        <v>10724820752</v>
      </c>
      <c r="G186" s="14" t="s">
        <v>4</v>
      </c>
      <c r="H186" s="14" t="s">
        <v>21</v>
      </c>
      <c r="I186" s="16" t="s">
        <v>58</v>
      </c>
      <c r="J186" s="14" t="str">
        <f t="shared" ca="1" si="8"/>
        <v>No</v>
      </c>
    </row>
    <row r="187" spans="1:10" x14ac:dyDescent="0.35">
      <c r="A187" s="12">
        <f t="shared" si="9"/>
        <v>4</v>
      </c>
      <c r="B187" s="12" t="str">
        <f t="shared" si="10"/>
        <v>Jan2025</v>
      </c>
      <c r="C187" s="12" t="str">
        <f t="shared" si="11"/>
        <v>Tuesday</v>
      </c>
      <c r="D187" s="13">
        <v>45678</v>
      </c>
      <c r="E187" s="14">
        <v>20</v>
      </c>
      <c r="F187" s="12">
        <v>10653941782</v>
      </c>
      <c r="G187" s="14" t="s">
        <v>5</v>
      </c>
      <c r="H187" s="14" t="s">
        <v>21</v>
      </c>
      <c r="I187" s="16" t="s">
        <v>51</v>
      </c>
      <c r="J187" s="14" t="str">
        <f t="shared" ca="1" si="8"/>
        <v>No</v>
      </c>
    </row>
    <row r="188" spans="1:10" x14ac:dyDescent="0.35">
      <c r="A188" s="12">
        <f t="shared" si="9"/>
        <v>4</v>
      </c>
      <c r="B188" s="12" t="str">
        <f t="shared" si="10"/>
        <v>Jan2025</v>
      </c>
      <c r="C188" s="12" t="str">
        <f t="shared" si="11"/>
        <v>Tuesday</v>
      </c>
      <c r="D188" s="13">
        <v>45678</v>
      </c>
      <c r="E188" s="14">
        <v>21</v>
      </c>
      <c r="F188" s="12">
        <v>10725433962</v>
      </c>
      <c r="G188" s="14" t="s">
        <v>4</v>
      </c>
      <c r="H188" s="14" t="s">
        <v>11</v>
      </c>
      <c r="I188" s="16" t="s">
        <v>92</v>
      </c>
      <c r="J188" s="14" t="str">
        <f t="shared" ca="1" si="8"/>
        <v>No</v>
      </c>
    </row>
    <row r="189" spans="1:10" x14ac:dyDescent="0.35">
      <c r="A189" s="12">
        <f t="shared" si="9"/>
        <v>4</v>
      </c>
      <c r="B189" s="12" t="str">
        <f t="shared" si="10"/>
        <v>Jan2025</v>
      </c>
      <c r="C189" s="12" t="str">
        <f t="shared" si="11"/>
        <v>Tuesday</v>
      </c>
      <c r="D189" s="13">
        <v>45678</v>
      </c>
      <c r="E189" s="14">
        <v>22</v>
      </c>
      <c r="F189" s="12">
        <v>10724909772</v>
      </c>
      <c r="G189" s="14" t="s">
        <v>7</v>
      </c>
      <c r="H189" s="14" t="s">
        <v>21</v>
      </c>
      <c r="I189" s="16" t="s">
        <v>58</v>
      </c>
      <c r="J189" s="14" t="str">
        <f t="shared" ca="1" si="8"/>
        <v>No</v>
      </c>
    </row>
    <row r="190" spans="1:10" x14ac:dyDescent="0.35">
      <c r="A190" s="12">
        <f t="shared" si="9"/>
        <v>4</v>
      </c>
      <c r="B190" s="12" t="str">
        <f t="shared" si="10"/>
        <v>Jan2025</v>
      </c>
      <c r="C190" s="12" t="str">
        <f t="shared" si="11"/>
        <v>Tuesday</v>
      </c>
      <c r="D190" s="13">
        <v>45678</v>
      </c>
      <c r="E190" s="14">
        <v>23</v>
      </c>
      <c r="F190" s="12">
        <v>10725449312</v>
      </c>
      <c r="G190" s="14" t="s">
        <v>3</v>
      </c>
      <c r="H190" s="14" t="s">
        <v>11</v>
      </c>
      <c r="I190" s="16" t="s">
        <v>16</v>
      </c>
      <c r="J190" s="14" t="str">
        <f t="shared" ca="1" si="8"/>
        <v>Yes</v>
      </c>
    </row>
    <row r="191" spans="1:10" x14ac:dyDescent="0.35">
      <c r="A191" s="12">
        <f t="shared" si="9"/>
        <v>4</v>
      </c>
      <c r="B191" s="12" t="str">
        <f t="shared" si="10"/>
        <v>Jan2025</v>
      </c>
      <c r="C191" s="12" t="str">
        <f t="shared" si="11"/>
        <v>Tuesday</v>
      </c>
      <c r="D191" s="13">
        <v>45678</v>
      </c>
      <c r="E191" s="14">
        <v>24</v>
      </c>
      <c r="F191" s="12">
        <v>10725662052</v>
      </c>
      <c r="G191" s="14" t="s">
        <v>4</v>
      </c>
      <c r="H191" s="14" t="s">
        <v>11</v>
      </c>
      <c r="I191" s="16" t="s">
        <v>92</v>
      </c>
      <c r="J191" s="14" t="str">
        <f t="shared" ca="1" si="8"/>
        <v>No</v>
      </c>
    </row>
    <row r="192" spans="1:10" x14ac:dyDescent="0.35">
      <c r="A192" s="12">
        <f t="shared" si="9"/>
        <v>4</v>
      </c>
      <c r="B192" s="12" t="str">
        <f t="shared" si="10"/>
        <v>Jan2025</v>
      </c>
      <c r="C192" s="12" t="str">
        <f t="shared" si="11"/>
        <v>Tuesday</v>
      </c>
      <c r="D192" s="13">
        <v>45678</v>
      </c>
      <c r="E192" s="14">
        <v>25</v>
      </c>
      <c r="F192" s="12">
        <v>10718384482</v>
      </c>
      <c r="G192" s="14" t="s">
        <v>4</v>
      </c>
      <c r="H192" s="14" t="s">
        <v>21</v>
      </c>
      <c r="I192" s="16" t="s">
        <v>31</v>
      </c>
      <c r="J192" s="14" t="str">
        <f t="shared" ca="1" si="8"/>
        <v>No</v>
      </c>
    </row>
    <row r="193" spans="1:10" x14ac:dyDescent="0.35">
      <c r="A193" s="12">
        <f t="shared" si="9"/>
        <v>4</v>
      </c>
      <c r="B193" s="12" t="str">
        <f t="shared" si="10"/>
        <v>Jan2025</v>
      </c>
      <c r="C193" s="12" t="str">
        <f t="shared" si="11"/>
        <v>Tuesday</v>
      </c>
      <c r="D193" s="13">
        <v>45678</v>
      </c>
      <c r="E193" s="14">
        <v>26</v>
      </c>
      <c r="F193" s="12">
        <v>10651963862</v>
      </c>
      <c r="G193" s="14" t="s">
        <v>5</v>
      </c>
      <c r="H193" s="14" t="s">
        <v>21</v>
      </c>
      <c r="I193" s="16" t="s">
        <v>35</v>
      </c>
      <c r="J193" s="14" t="str">
        <f t="shared" ca="1" si="8"/>
        <v>No</v>
      </c>
    </row>
    <row r="194" spans="1:10" x14ac:dyDescent="0.35">
      <c r="A194" s="12">
        <f t="shared" si="9"/>
        <v>4</v>
      </c>
      <c r="B194" s="12" t="str">
        <f t="shared" si="10"/>
        <v>Jan2025</v>
      </c>
      <c r="C194" s="12" t="str">
        <f t="shared" si="11"/>
        <v>Tuesday</v>
      </c>
      <c r="D194" s="13">
        <v>45678</v>
      </c>
      <c r="E194" s="14">
        <v>27</v>
      </c>
      <c r="F194" s="12">
        <v>10726511022</v>
      </c>
      <c r="G194" s="14" t="s">
        <v>4</v>
      </c>
      <c r="H194" s="14" t="s">
        <v>61</v>
      </c>
      <c r="I194" s="16" t="s">
        <v>14</v>
      </c>
      <c r="J194" s="14" t="str">
        <f t="shared" ref="J194:J257" ca="1" si="12">IF(RAND()&lt;0.2,"Yes","No")</f>
        <v>No</v>
      </c>
    </row>
    <row r="195" spans="1:10" x14ac:dyDescent="0.35">
      <c r="A195" s="12">
        <f t="shared" ref="A195:A258" si="13">WEEKNUM(D195)</f>
        <v>4</v>
      </c>
      <c r="B195" s="12" t="str">
        <f t="shared" ref="B195:B258" si="14">TEXT(D195,"MMMYYYY")</f>
        <v>Jan2025</v>
      </c>
      <c r="C195" s="12" t="str">
        <f t="shared" ref="C195:C258" si="15">TEXT(D195,"dddd")</f>
        <v>Wednesday</v>
      </c>
      <c r="D195" s="13">
        <v>45679</v>
      </c>
      <c r="E195" s="14">
        <v>1</v>
      </c>
      <c r="F195" s="12">
        <v>10717059482</v>
      </c>
      <c r="G195" s="14" t="s">
        <v>4</v>
      </c>
      <c r="H195" s="14" t="s">
        <v>11</v>
      </c>
      <c r="I195" s="16" t="s">
        <v>12</v>
      </c>
      <c r="J195" s="14" t="str">
        <f t="shared" ca="1" si="12"/>
        <v>No</v>
      </c>
    </row>
    <row r="196" spans="1:10" x14ac:dyDescent="0.35">
      <c r="A196" s="12">
        <f t="shared" si="13"/>
        <v>4</v>
      </c>
      <c r="B196" s="12" t="str">
        <f t="shared" si="14"/>
        <v>Jan2025</v>
      </c>
      <c r="C196" s="12" t="str">
        <f t="shared" si="15"/>
        <v>Wednesday</v>
      </c>
      <c r="D196" s="13">
        <v>45679</v>
      </c>
      <c r="E196" s="14">
        <v>2</v>
      </c>
      <c r="F196" s="12">
        <v>10719312792</v>
      </c>
      <c r="G196" s="14" t="s">
        <v>4</v>
      </c>
      <c r="H196" s="14" t="s">
        <v>11</v>
      </c>
      <c r="I196" s="16" t="s">
        <v>19</v>
      </c>
      <c r="J196" s="14" t="str">
        <f t="shared" ca="1" si="12"/>
        <v>Yes</v>
      </c>
    </row>
    <row r="197" spans="1:10" x14ac:dyDescent="0.35">
      <c r="A197" s="12">
        <f t="shared" si="13"/>
        <v>4</v>
      </c>
      <c r="B197" s="12" t="str">
        <f t="shared" si="14"/>
        <v>Jan2025</v>
      </c>
      <c r="C197" s="12" t="str">
        <f t="shared" si="15"/>
        <v>Wednesday</v>
      </c>
      <c r="D197" s="13">
        <v>45679</v>
      </c>
      <c r="E197" s="14">
        <v>3</v>
      </c>
      <c r="F197" s="12">
        <v>10696778472</v>
      </c>
      <c r="G197" s="14" t="s">
        <v>4</v>
      </c>
      <c r="H197" s="14" t="s">
        <v>21</v>
      </c>
      <c r="I197" s="16" t="s">
        <v>33</v>
      </c>
      <c r="J197" s="14" t="str">
        <f t="shared" ca="1" si="12"/>
        <v>Yes</v>
      </c>
    </row>
    <row r="198" spans="1:10" x14ac:dyDescent="0.35">
      <c r="A198" s="12">
        <f t="shared" si="13"/>
        <v>4</v>
      </c>
      <c r="B198" s="12" t="str">
        <f t="shared" si="14"/>
        <v>Jan2025</v>
      </c>
      <c r="C198" s="12" t="str">
        <f t="shared" si="15"/>
        <v>Wednesday</v>
      </c>
      <c r="D198" s="13">
        <v>45679</v>
      </c>
      <c r="E198" s="14">
        <v>4</v>
      </c>
      <c r="F198" s="12">
        <v>10727690812</v>
      </c>
      <c r="G198" s="14" t="s">
        <v>4</v>
      </c>
      <c r="H198" s="14" t="s">
        <v>21</v>
      </c>
      <c r="I198" s="16" t="s">
        <v>22</v>
      </c>
      <c r="J198" s="14" t="str">
        <f t="shared" ca="1" si="12"/>
        <v>No</v>
      </c>
    </row>
    <row r="199" spans="1:10" x14ac:dyDescent="0.35">
      <c r="A199" s="12">
        <f t="shared" si="13"/>
        <v>4</v>
      </c>
      <c r="B199" s="12" t="str">
        <f t="shared" si="14"/>
        <v>Jan2025</v>
      </c>
      <c r="C199" s="12" t="str">
        <f t="shared" si="15"/>
        <v>Wednesday</v>
      </c>
      <c r="D199" s="13">
        <v>45679</v>
      </c>
      <c r="E199" s="14">
        <v>5</v>
      </c>
      <c r="F199" s="12">
        <v>10728454202</v>
      </c>
      <c r="G199" s="14" t="s">
        <v>3</v>
      </c>
      <c r="H199" s="14" t="s">
        <v>11</v>
      </c>
      <c r="I199" s="16" t="s">
        <v>150</v>
      </c>
      <c r="J199" s="14" t="str">
        <f t="shared" ca="1" si="12"/>
        <v>No</v>
      </c>
    </row>
    <row r="200" spans="1:10" x14ac:dyDescent="0.35">
      <c r="A200" s="12">
        <f t="shared" si="13"/>
        <v>4</v>
      </c>
      <c r="B200" s="12" t="str">
        <f t="shared" si="14"/>
        <v>Jan2025</v>
      </c>
      <c r="C200" s="12" t="str">
        <f t="shared" si="15"/>
        <v>Wednesday</v>
      </c>
      <c r="D200" s="13">
        <v>45679</v>
      </c>
      <c r="E200" s="14">
        <v>6</v>
      </c>
      <c r="F200" s="12">
        <v>10723289972</v>
      </c>
      <c r="G200" s="14" t="s">
        <v>4</v>
      </c>
      <c r="H200" s="14" t="s">
        <v>11</v>
      </c>
      <c r="I200" s="16" t="s">
        <v>151</v>
      </c>
      <c r="J200" s="14" t="str">
        <f t="shared" ca="1" si="12"/>
        <v>No</v>
      </c>
    </row>
    <row r="201" spans="1:10" x14ac:dyDescent="0.35">
      <c r="A201" s="12">
        <f t="shared" si="13"/>
        <v>4</v>
      </c>
      <c r="B201" s="12" t="str">
        <f t="shared" si="14"/>
        <v>Jan2025</v>
      </c>
      <c r="C201" s="12" t="str">
        <f t="shared" si="15"/>
        <v>Wednesday</v>
      </c>
      <c r="D201" s="13">
        <v>45679</v>
      </c>
      <c r="E201" s="14">
        <v>7</v>
      </c>
      <c r="F201" s="12">
        <v>10727823402</v>
      </c>
      <c r="G201" s="14" t="s">
        <v>7</v>
      </c>
      <c r="H201" s="14" t="s">
        <v>21</v>
      </c>
      <c r="I201" s="16" t="s">
        <v>58</v>
      </c>
      <c r="J201" s="14" t="str">
        <f t="shared" ca="1" si="12"/>
        <v>Yes</v>
      </c>
    </row>
    <row r="202" spans="1:10" x14ac:dyDescent="0.35">
      <c r="A202" s="12">
        <f t="shared" si="13"/>
        <v>4</v>
      </c>
      <c r="B202" s="12" t="str">
        <f t="shared" si="14"/>
        <v>Jan2025</v>
      </c>
      <c r="C202" s="12" t="str">
        <f t="shared" si="15"/>
        <v>Wednesday</v>
      </c>
      <c r="D202" s="13">
        <v>45679</v>
      </c>
      <c r="E202" s="14">
        <v>8</v>
      </c>
      <c r="F202" s="12">
        <v>10728033162</v>
      </c>
      <c r="G202" s="14" t="s">
        <v>4</v>
      </c>
      <c r="H202" s="14" t="s">
        <v>61</v>
      </c>
      <c r="I202" s="16" t="s">
        <v>146</v>
      </c>
      <c r="J202" s="14" t="str">
        <f t="shared" ca="1" si="12"/>
        <v>No</v>
      </c>
    </row>
    <row r="203" spans="1:10" x14ac:dyDescent="0.35">
      <c r="A203" s="12">
        <f t="shared" si="13"/>
        <v>4</v>
      </c>
      <c r="B203" s="12" t="str">
        <f t="shared" si="14"/>
        <v>Jan2025</v>
      </c>
      <c r="C203" s="12" t="str">
        <f t="shared" si="15"/>
        <v>Wednesday</v>
      </c>
      <c r="D203" s="13">
        <v>45679</v>
      </c>
      <c r="E203" s="14">
        <v>9</v>
      </c>
      <c r="F203" s="12">
        <v>10723298192</v>
      </c>
      <c r="G203" s="14" t="s">
        <v>4</v>
      </c>
      <c r="H203" s="14" t="s">
        <v>21</v>
      </c>
      <c r="I203" s="16" t="s">
        <v>24</v>
      </c>
      <c r="J203" s="14" t="str">
        <f t="shared" ca="1" si="12"/>
        <v>No</v>
      </c>
    </row>
    <row r="204" spans="1:10" x14ac:dyDescent="0.35">
      <c r="A204" s="12">
        <f t="shared" si="13"/>
        <v>4</v>
      </c>
      <c r="B204" s="12" t="str">
        <f t="shared" si="14"/>
        <v>Jan2025</v>
      </c>
      <c r="C204" s="12" t="str">
        <f t="shared" si="15"/>
        <v>Wednesday</v>
      </c>
      <c r="D204" s="13">
        <v>45679</v>
      </c>
      <c r="E204" s="14">
        <v>10</v>
      </c>
      <c r="F204" s="12">
        <v>10726910072</v>
      </c>
      <c r="G204" s="14" t="s">
        <v>4</v>
      </c>
      <c r="H204" s="14" t="s">
        <v>21</v>
      </c>
      <c r="I204" s="16" t="s">
        <v>76</v>
      </c>
      <c r="J204" s="14" t="str">
        <f t="shared" ca="1" si="12"/>
        <v>Yes</v>
      </c>
    </row>
    <row r="205" spans="1:10" x14ac:dyDescent="0.35">
      <c r="A205" s="12">
        <f t="shared" si="13"/>
        <v>4</v>
      </c>
      <c r="B205" s="12" t="str">
        <f t="shared" si="14"/>
        <v>Jan2025</v>
      </c>
      <c r="C205" s="12" t="str">
        <f t="shared" si="15"/>
        <v>Wednesday</v>
      </c>
      <c r="D205" s="13">
        <v>45679</v>
      </c>
      <c r="E205" s="14">
        <v>11</v>
      </c>
      <c r="F205" s="12">
        <v>10726816752</v>
      </c>
      <c r="G205" s="14" t="s">
        <v>4</v>
      </c>
      <c r="H205" s="14" t="s">
        <v>61</v>
      </c>
      <c r="I205" s="16" t="s">
        <v>88</v>
      </c>
      <c r="J205" s="14" t="str">
        <f t="shared" ca="1" si="12"/>
        <v>No</v>
      </c>
    </row>
    <row r="206" spans="1:10" x14ac:dyDescent="0.35">
      <c r="A206" s="12">
        <f t="shared" si="13"/>
        <v>4</v>
      </c>
      <c r="B206" s="12" t="str">
        <f t="shared" si="14"/>
        <v>Jan2025</v>
      </c>
      <c r="C206" s="12" t="str">
        <f t="shared" si="15"/>
        <v>Wednesday</v>
      </c>
      <c r="D206" s="13">
        <v>45679</v>
      </c>
      <c r="E206" s="14">
        <v>12</v>
      </c>
      <c r="F206" s="12">
        <v>10728458282</v>
      </c>
      <c r="G206" s="14" t="s">
        <v>4</v>
      </c>
      <c r="H206" s="14" t="s">
        <v>11</v>
      </c>
      <c r="I206" s="16" t="s">
        <v>152</v>
      </c>
      <c r="J206" s="14" t="str">
        <f t="shared" ca="1" si="12"/>
        <v>No</v>
      </c>
    </row>
    <row r="207" spans="1:10" x14ac:dyDescent="0.35">
      <c r="A207" s="12">
        <f t="shared" si="13"/>
        <v>4</v>
      </c>
      <c r="B207" s="12" t="str">
        <f t="shared" si="14"/>
        <v>Jan2025</v>
      </c>
      <c r="C207" s="12" t="str">
        <f t="shared" si="15"/>
        <v>Wednesday</v>
      </c>
      <c r="D207" s="13">
        <v>45679</v>
      </c>
      <c r="E207" s="14">
        <v>13</v>
      </c>
      <c r="F207" s="12">
        <v>10657355442</v>
      </c>
      <c r="G207" s="14" t="s">
        <v>3</v>
      </c>
      <c r="H207" s="14" t="s">
        <v>11</v>
      </c>
      <c r="I207" s="16" t="s">
        <v>16</v>
      </c>
      <c r="J207" s="14" t="str">
        <f t="shared" ca="1" si="12"/>
        <v>No</v>
      </c>
    </row>
    <row r="208" spans="1:10" x14ac:dyDescent="0.35">
      <c r="A208" s="12">
        <f t="shared" si="13"/>
        <v>4</v>
      </c>
      <c r="B208" s="12" t="str">
        <f t="shared" si="14"/>
        <v>Jan2025</v>
      </c>
      <c r="C208" s="12" t="str">
        <f t="shared" si="15"/>
        <v>Wednesday</v>
      </c>
      <c r="D208" s="13">
        <v>45679</v>
      </c>
      <c r="E208" s="14">
        <v>14</v>
      </c>
      <c r="F208" s="12">
        <v>10725399422</v>
      </c>
      <c r="G208" s="14" t="s">
        <v>4</v>
      </c>
      <c r="H208" s="14" t="s">
        <v>21</v>
      </c>
      <c r="I208" s="16" t="s">
        <v>33</v>
      </c>
      <c r="J208" s="14" t="str">
        <f t="shared" ca="1" si="12"/>
        <v>No</v>
      </c>
    </row>
    <row r="209" spans="1:10" x14ac:dyDescent="0.35">
      <c r="A209" s="12">
        <f t="shared" si="13"/>
        <v>4</v>
      </c>
      <c r="B209" s="12" t="str">
        <f t="shared" si="14"/>
        <v>Jan2025</v>
      </c>
      <c r="C209" s="12" t="str">
        <f t="shared" si="15"/>
        <v>Wednesday</v>
      </c>
      <c r="D209" s="13">
        <v>45679</v>
      </c>
      <c r="E209" s="14">
        <v>15</v>
      </c>
      <c r="F209" s="12">
        <v>10655906282</v>
      </c>
      <c r="G209" s="14" t="s">
        <v>5</v>
      </c>
      <c r="H209" s="14" t="s">
        <v>21</v>
      </c>
      <c r="I209" s="16" t="s">
        <v>46</v>
      </c>
      <c r="J209" s="14" t="str">
        <f t="shared" ca="1" si="12"/>
        <v>Yes</v>
      </c>
    </row>
    <row r="210" spans="1:10" x14ac:dyDescent="0.35">
      <c r="A210" s="12">
        <f t="shared" si="13"/>
        <v>4</v>
      </c>
      <c r="B210" s="12" t="str">
        <f t="shared" si="14"/>
        <v>Jan2025</v>
      </c>
      <c r="C210" s="12" t="str">
        <f t="shared" si="15"/>
        <v>Wednesday</v>
      </c>
      <c r="D210" s="13">
        <v>45679</v>
      </c>
      <c r="E210" s="14">
        <v>16</v>
      </c>
      <c r="F210" s="12">
        <v>10728914002</v>
      </c>
      <c r="G210" s="14" t="s">
        <v>7</v>
      </c>
      <c r="H210" s="14" t="s">
        <v>61</v>
      </c>
      <c r="I210" s="16" t="s">
        <v>47</v>
      </c>
      <c r="J210" s="14" t="str">
        <f t="shared" ca="1" si="12"/>
        <v>No</v>
      </c>
    </row>
    <row r="211" spans="1:10" x14ac:dyDescent="0.35">
      <c r="A211" s="12">
        <f t="shared" si="13"/>
        <v>4</v>
      </c>
      <c r="B211" s="12" t="str">
        <f t="shared" si="14"/>
        <v>Jan2025</v>
      </c>
      <c r="C211" s="12" t="str">
        <f t="shared" si="15"/>
        <v>Wednesday</v>
      </c>
      <c r="D211" s="13">
        <v>45679</v>
      </c>
      <c r="E211" s="14">
        <v>17</v>
      </c>
      <c r="F211" s="12">
        <v>9862668932</v>
      </c>
      <c r="G211" s="14" t="s">
        <v>3</v>
      </c>
      <c r="H211" s="14" t="s">
        <v>11</v>
      </c>
      <c r="I211" s="16" t="s">
        <v>16</v>
      </c>
      <c r="J211" s="14" t="str">
        <f t="shared" ca="1" si="12"/>
        <v>No</v>
      </c>
    </row>
    <row r="212" spans="1:10" x14ac:dyDescent="0.35">
      <c r="A212" s="12">
        <f t="shared" si="13"/>
        <v>4</v>
      </c>
      <c r="B212" s="12" t="str">
        <f t="shared" si="14"/>
        <v>Jan2025</v>
      </c>
      <c r="C212" s="12" t="str">
        <f t="shared" si="15"/>
        <v>Wednesday</v>
      </c>
      <c r="D212" s="13">
        <v>45679</v>
      </c>
      <c r="E212" s="14">
        <v>18</v>
      </c>
      <c r="F212" s="12">
        <v>10729011202</v>
      </c>
      <c r="G212" s="14" t="s">
        <v>4</v>
      </c>
      <c r="H212" s="14" t="s">
        <v>61</v>
      </c>
      <c r="I212" s="16" t="s">
        <v>153</v>
      </c>
      <c r="J212" s="14" t="str">
        <f t="shared" ca="1" si="12"/>
        <v>No</v>
      </c>
    </row>
    <row r="213" spans="1:10" x14ac:dyDescent="0.35">
      <c r="A213" s="12">
        <f t="shared" si="13"/>
        <v>4</v>
      </c>
      <c r="B213" s="12" t="str">
        <f t="shared" si="14"/>
        <v>Jan2025</v>
      </c>
      <c r="C213" s="12" t="str">
        <f t="shared" si="15"/>
        <v>Wednesday</v>
      </c>
      <c r="D213" s="13">
        <v>45679</v>
      </c>
      <c r="E213" s="14">
        <v>19</v>
      </c>
      <c r="F213" s="12">
        <v>10725253562</v>
      </c>
      <c r="G213" s="14" t="s">
        <v>4</v>
      </c>
      <c r="H213" s="14" t="s">
        <v>11</v>
      </c>
      <c r="I213" s="16" t="s">
        <v>154</v>
      </c>
      <c r="J213" s="14" t="str">
        <f t="shared" ca="1" si="12"/>
        <v>No</v>
      </c>
    </row>
    <row r="214" spans="1:10" x14ac:dyDescent="0.35">
      <c r="A214" s="12">
        <f t="shared" si="13"/>
        <v>4</v>
      </c>
      <c r="B214" s="12" t="str">
        <f t="shared" si="14"/>
        <v>Jan2025</v>
      </c>
      <c r="C214" s="12" t="str">
        <f t="shared" si="15"/>
        <v>Wednesday</v>
      </c>
      <c r="D214" s="13">
        <v>45679</v>
      </c>
      <c r="E214" s="14">
        <v>20</v>
      </c>
      <c r="F214" s="12">
        <v>10709176092</v>
      </c>
      <c r="G214" s="14" t="s">
        <v>5</v>
      </c>
      <c r="H214" s="14" t="s">
        <v>21</v>
      </c>
      <c r="I214" s="16" t="s">
        <v>36</v>
      </c>
      <c r="J214" s="14" t="str">
        <f t="shared" ca="1" si="12"/>
        <v>No</v>
      </c>
    </row>
    <row r="215" spans="1:10" x14ac:dyDescent="0.35">
      <c r="A215" s="12">
        <f t="shared" si="13"/>
        <v>4</v>
      </c>
      <c r="B215" s="12" t="str">
        <f t="shared" si="14"/>
        <v>Jan2025</v>
      </c>
      <c r="C215" s="12" t="str">
        <f t="shared" si="15"/>
        <v>Wednesday</v>
      </c>
      <c r="D215" s="13">
        <v>45679</v>
      </c>
      <c r="E215" s="14">
        <v>21</v>
      </c>
      <c r="F215" s="12">
        <v>10729226102</v>
      </c>
      <c r="G215" s="14" t="s">
        <v>4</v>
      </c>
      <c r="H215" s="14" t="s">
        <v>11</v>
      </c>
      <c r="I215" s="16" t="s">
        <v>103</v>
      </c>
      <c r="J215" s="14" t="str">
        <f t="shared" ca="1" si="12"/>
        <v>No</v>
      </c>
    </row>
    <row r="216" spans="1:10" s="1" customFormat="1" ht="14.5" customHeight="1" x14ac:dyDescent="0.35">
      <c r="A216" s="12">
        <f t="shared" si="13"/>
        <v>4</v>
      </c>
      <c r="B216" s="12" t="str">
        <f t="shared" si="14"/>
        <v>Jan2025</v>
      </c>
      <c r="C216" s="12" t="str">
        <f t="shared" si="15"/>
        <v>Wednesday</v>
      </c>
      <c r="D216" s="13">
        <v>45679</v>
      </c>
      <c r="E216" s="18">
        <v>22</v>
      </c>
      <c r="F216" s="19">
        <v>10728777802</v>
      </c>
      <c r="G216" s="18" t="s">
        <v>3</v>
      </c>
      <c r="H216" s="18" t="s">
        <v>21</v>
      </c>
      <c r="I216" s="17" t="s">
        <v>253</v>
      </c>
      <c r="J216" s="14" t="str">
        <f t="shared" ca="1" si="12"/>
        <v>No</v>
      </c>
    </row>
    <row r="217" spans="1:10" x14ac:dyDescent="0.35">
      <c r="A217" s="12">
        <f t="shared" si="13"/>
        <v>4</v>
      </c>
      <c r="B217" s="12" t="str">
        <f t="shared" si="14"/>
        <v>Jan2025</v>
      </c>
      <c r="C217" s="12" t="str">
        <f t="shared" si="15"/>
        <v>Wednesday</v>
      </c>
      <c r="D217" s="13">
        <v>45679</v>
      </c>
      <c r="E217" s="14">
        <v>23</v>
      </c>
      <c r="F217" s="12">
        <v>10729497732</v>
      </c>
      <c r="G217" s="14" t="s">
        <v>7</v>
      </c>
      <c r="H217" s="14" t="s">
        <v>21</v>
      </c>
      <c r="I217" s="16" t="s">
        <v>58</v>
      </c>
      <c r="J217" s="14" t="str">
        <f t="shared" ca="1" si="12"/>
        <v>No</v>
      </c>
    </row>
    <row r="218" spans="1:10" s="1" customFormat="1" ht="14.5" customHeight="1" x14ac:dyDescent="0.35">
      <c r="A218" s="12">
        <f t="shared" si="13"/>
        <v>4</v>
      </c>
      <c r="B218" s="12" t="str">
        <f t="shared" si="14"/>
        <v>Jan2025</v>
      </c>
      <c r="C218" s="12" t="str">
        <f t="shared" si="15"/>
        <v>Wednesday</v>
      </c>
      <c r="D218" s="13">
        <v>45679</v>
      </c>
      <c r="E218" s="18">
        <v>24</v>
      </c>
      <c r="F218" s="19">
        <v>10726928902</v>
      </c>
      <c r="G218" s="18" t="s">
        <v>3</v>
      </c>
      <c r="H218" s="18" t="s">
        <v>21</v>
      </c>
      <c r="I218" s="17" t="s">
        <v>253</v>
      </c>
      <c r="J218" s="14" t="str">
        <f t="shared" ca="1" si="12"/>
        <v>Yes</v>
      </c>
    </row>
    <row r="219" spans="1:10" x14ac:dyDescent="0.35">
      <c r="A219" s="12">
        <f t="shared" si="13"/>
        <v>4</v>
      </c>
      <c r="B219" s="12" t="str">
        <f t="shared" si="14"/>
        <v>Jan2025</v>
      </c>
      <c r="C219" s="12" t="str">
        <f t="shared" si="15"/>
        <v>Wednesday</v>
      </c>
      <c r="D219" s="13">
        <v>45679</v>
      </c>
      <c r="E219" s="14">
        <v>25</v>
      </c>
      <c r="F219" s="12">
        <v>10730050322</v>
      </c>
      <c r="G219" s="14" t="s">
        <v>3</v>
      </c>
      <c r="H219" s="14" t="s">
        <v>11</v>
      </c>
      <c r="I219" s="16" t="s">
        <v>155</v>
      </c>
      <c r="J219" s="14" t="str">
        <f t="shared" ca="1" si="12"/>
        <v>No</v>
      </c>
    </row>
    <row r="220" spans="1:10" x14ac:dyDescent="0.35">
      <c r="A220" s="12">
        <f t="shared" si="13"/>
        <v>4</v>
      </c>
      <c r="B220" s="12" t="str">
        <f t="shared" si="14"/>
        <v>Jan2025</v>
      </c>
      <c r="C220" s="12" t="str">
        <f t="shared" si="15"/>
        <v>Thursday</v>
      </c>
      <c r="D220" s="13">
        <v>45680</v>
      </c>
      <c r="E220" s="14">
        <v>1</v>
      </c>
      <c r="F220" s="12">
        <v>10692904272</v>
      </c>
      <c r="G220" s="14" t="s">
        <v>3</v>
      </c>
      <c r="H220" s="14" t="s">
        <v>21</v>
      </c>
      <c r="I220" s="16" t="s">
        <v>16</v>
      </c>
      <c r="J220" s="14" t="str">
        <f t="shared" ca="1" si="12"/>
        <v>No</v>
      </c>
    </row>
    <row r="221" spans="1:10" x14ac:dyDescent="0.35">
      <c r="A221" s="12">
        <f t="shared" si="13"/>
        <v>4</v>
      </c>
      <c r="B221" s="12" t="str">
        <f t="shared" si="14"/>
        <v>Jan2025</v>
      </c>
      <c r="C221" s="12" t="str">
        <f t="shared" si="15"/>
        <v>Thursday</v>
      </c>
      <c r="D221" s="13">
        <v>45680</v>
      </c>
      <c r="E221" s="14">
        <v>2</v>
      </c>
      <c r="F221" s="12">
        <v>10723574462</v>
      </c>
      <c r="G221" s="14" t="s">
        <v>4</v>
      </c>
      <c r="H221" s="14" t="s">
        <v>21</v>
      </c>
      <c r="I221" s="16" t="s">
        <v>24</v>
      </c>
      <c r="J221" s="14" t="str">
        <f t="shared" ca="1" si="12"/>
        <v>No</v>
      </c>
    </row>
    <row r="222" spans="1:10" x14ac:dyDescent="0.35">
      <c r="A222" s="12">
        <f t="shared" si="13"/>
        <v>4</v>
      </c>
      <c r="B222" s="12" t="str">
        <f t="shared" si="14"/>
        <v>Jan2025</v>
      </c>
      <c r="C222" s="12" t="str">
        <f t="shared" si="15"/>
        <v>Thursday</v>
      </c>
      <c r="D222" s="13">
        <v>45680</v>
      </c>
      <c r="E222" s="14">
        <v>3</v>
      </c>
      <c r="F222" s="12">
        <v>10728941532</v>
      </c>
      <c r="G222" s="14" t="s">
        <v>7</v>
      </c>
      <c r="H222" s="14" t="s">
        <v>61</v>
      </c>
      <c r="I222" s="16" t="s">
        <v>156</v>
      </c>
      <c r="J222" s="14" t="str">
        <f t="shared" ca="1" si="12"/>
        <v>No</v>
      </c>
    </row>
    <row r="223" spans="1:10" x14ac:dyDescent="0.35">
      <c r="A223" s="12">
        <f t="shared" si="13"/>
        <v>4</v>
      </c>
      <c r="B223" s="12" t="str">
        <f t="shared" si="14"/>
        <v>Jan2025</v>
      </c>
      <c r="C223" s="12" t="str">
        <f t="shared" si="15"/>
        <v>Thursday</v>
      </c>
      <c r="D223" s="13">
        <v>45680</v>
      </c>
      <c r="E223" s="14">
        <v>4</v>
      </c>
      <c r="F223" s="12">
        <v>10724533972</v>
      </c>
      <c r="G223" s="14" t="s">
        <v>4</v>
      </c>
      <c r="H223" s="14" t="s">
        <v>11</v>
      </c>
      <c r="I223" s="16" t="s">
        <v>12</v>
      </c>
      <c r="J223" s="14" t="str">
        <f t="shared" ca="1" si="12"/>
        <v>No</v>
      </c>
    </row>
    <row r="224" spans="1:10" x14ac:dyDescent="0.35">
      <c r="A224" s="12">
        <f t="shared" si="13"/>
        <v>4</v>
      </c>
      <c r="B224" s="12" t="str">
        <f t="shared" si="14"/>
        <v>Jan2025</v>
      </c>
      <c r="C224" s="12" t="str">
        <f t="shared" si="15"/>
        <v>Thursday</v>
      </c>
      <c r="D224" s="13">
        <v>45680</v>
      </c>
      <c r="E224" s="14">
        <v>5</v>
      </c>
      <c r="F224" s="12">
        <v>10707816552</v>
      </c>
      <c r="G224" s="14" t="s">
        <v>7</v>
      </c>
      <c r="H224" s="14" t="s">
        <v>21</v>
      </c>
      <c r="I224" s="16" t="s">
        <v>58</v>
      </c>
      <c r="J224" s="14" t="str">
        <f t="shared" ca="1" si="12"/>
        <v>No</v>
      </c>
    </row>
    <row r="225" spans="1:10" x14ac:dyDescent="0.35">
      <c r="A225" s="12">
        <f t="shared" si="13"/>
        <v>4</v>
      </c>
      <c r="B225" s="12" t="str">
        <f t="shared" si="14"/>
        <v>Jan2025</v>
      </c>
      <c r="C225" s="12" t="str">
        <f t="shared" si="15"/>
        <v>Thursday</v>
      </c>
      <c r="D225" s="13">
        <v>45680</v>
      </c>
      <c r="E225" s="14">
        <v>6</v>
      </c>
      <c r="F225" s="12">
        <v>10731420412</v>
      </c>
      <c r="G225" s="14" t="s">
        <v>3</v>
      </c>
      <c r="H225" s="14" t="s">
        <v>11</v>
      </c>
      <c r="I225" s="16" t="s">
        <v>16</v>
      </c>
      <c r="J225" s="14" t="str">
        <f t="shared" ca="1" si="12"/>
        <v>No</v>
      </c>
    </row>
    <row r="226" spans="1:10" x14ac:dyDescent="0.35">
      <c r="A226" s="12">
        <f t="shared" si="13"/>
        <v>4</v>
      </c>
      <c r="B226" s="12" t="str">
        <f t="shared" si="14"/>
        <v>Jan2025</v>
      </c>
      <c r="C226" s="12" t="str">
        <f t="shared" si="15"/>
        <v>Thursday</v>
      </c>
      <c r="D226" s="13">
        <v>45680</v>
      </c>
      <c r="E226" s="14">
        <v>7</v>
      </c>
      <c r="F226" s="12">
        <v>10731990572</v>
      </c>
      <c r="G226" s="14" t="s">
        <v>4</v>
      </c>
      <c r="H226" s="14" t="s">
        <v>11</v>
      </c>
      <c r="I226" s="16" t="s">
        <v>32</v>
      </c>
      <c r="J226" s="14" t="str">
        <f t="shared" ca="1" si="12"/>
        <v>No</v>
      </c>
    </row>
    <row r="227" spans="1:10" x14ac:dyDescent="0.35">
      <c r="A227" s="12">
        <f t="shared" si="13"/>
        <v>4</v>
      </c>
      <c r="B227" s="12" t="str">
        <f t="shared" si="14"/>
        <v>Jan2025</v>
      </c>
      <c r="C227" s="12" t="str">
        <f t="shared" si="15"/>
        <v>Thursday</v>
      </c>
      <c r="D227" s="13">
        <v>45680</v>
      </c>
      <c r="E227" s="14">
        <v>8</v>
      </c>
      <c r="F227" s="12">
        <v>10731105212</v>
      </c>
      <c r="G227" s="14" t="s">
        <v>4</v>
      </c>
      <c r="H227" s="14" t="s">
        <v>11</v>
      </c>
      <c r="I227" s="16" t="s">
        <v>32</v>
      </c>
      <c r="J227" s="14" t="str">
        <f t="shared" ca="1" si="12"/>
        <v>No</v>
      </c>
    </row>
    <row r="228" spans="1:10" x14ac:dyDescent="0.35">
      <c r="A228" s="12">
        <f t="shared" si="13"/>
        <v>4</v>
      </c>
      <c r="B228" s="12" t="str">
        <f t="shared" si="14"/>
        <v>Jan2025</v>
      </c>
      <c r="C228" s="12" t="str">
        <f t="shared" si="15"/>
        <v>Thursday</v>
      </c>
      <c r="D228" s="13">
        <v>45680</v>
      </c>
      <c r="E228" s="14">
        <v>9</v>
      </c>
      <c r="F228" s="12">
        <v>10730890592</v>
      </c>
      <c r="G228" s="14" t="s">
        <v>4</v>
      </c>
      <c r="H228" s="14" t="s">
        <v>11</v>
      </c>
      <c r="I228" s="16" t="s">
        <v>32</v>
      </c>
      <c r="J228" s="14" t="str">
        <f t="shared" ca="1" si="12"/>
        <v>Yes</v>
      </c>
    </row>
    <row r="229" spans="1:10" x14ac:dyDescent="0.35">
      <c r="A229" s="12">
        <f t="shared" si="13"/>
        <v>4</v>
      </c>
      <c r="B229" s="12" t="str">
        <f t="shared" si="14"/>
        <v>Jan2025</v>
      </c>
      <c r="C229" s="12" t="str">
        <f t="shared" si="15"/>
        <v>Thursday</v>
      </c>
      <c r="D229" s="13">
        <v>45680</v>
      </c>
      <c r="E229" s="14">
        <v>10</v>
      </c>
      <c r="F229" s="12">
        <v>10731572392</v>
      </c>
      <c r="G229" s="14" t="s">
        <v>4</v>
      </c>
      <c r="H229" s="14" t="s">
        <v>61</v>
      </c>
      <c r="I229" s="16" t="s">
        <v>14</v>
      </c>
      <c r="J229" s="14" t="str">
        <f t="shared" ca="1" si="12"/>
        <v>No</v>
      </c>
    </row>
    <row r="230" spans="1:10" x14ac:dyDescent="0.35">
      <c r="A230" s="12">
        <f t="shared" si="13"/>
        <v>4</v>
      </c>
      <c r="B230" s="12" t="str">
        <f t="shared" si="14"/>
        <v>Jan2025</v>
      </c>
      <c r="C230" s="12" t="str">
        <f t="shared" si="15"/>
        <v>Thursday</v>
      </c>
      <c r="D230" s="13">
        <v>45680</v>
      </c>
      <c r="E230" s="14">
        <v>11</v>
      </c>
      <c r="F230" s="12">
        <v>10731616202</v>
      </c>
      <c r="G230" s="14" t="s">
        <v>4</v>
      </c>
      <c r="H230" s="14" t="s">
        <v>61</v>
      </c>
      <c r="I230" s="16" t="s">
        <v>112</v>
      </c>
      <c r="J230" s="14" t="str">
        <f t="shared" ca="1" si="12"/>
        <v>No</v>
      </c>
    </row>
    <row r="231" spans="1:10" x14ac:dyDescent="0.35">
      <c r="A231" s="12">
        <f t="shared" si="13"/>
        <v>4</v>
      </c>
      <c r="B231" s="12" t="str">
        <f t="shared" si="14"/>
        <v>Jan2025</v>
      </c>
      <c r="C231" s="12" t="str">
        <f t="shared" si="15"/>
        <v>Thursday</v>
      </c>
      <c r="D231" s="13">
        <v>45680</v>
      </c>
      <c r="E231" s="14">
        <v>12</v>
      </c>
      <c r="F231" s="12">
        <v>10726928902</v>
      </c>
      <c r="G231" s="14" t="s">
        <v>4</v>
      </c>
      <c r="H231" s="14" t="s">
        <v>11</v>
      </c>
      <c r="I231" s="16" t="s">
        <v>35</v>
      </c>
      <c r="J231" s="14" t="str">
        <f t="shared" ca="1" si="12"/>
        <v>No</v>
      </c>
    </row>
    <row r="232" spans="1:10" x14ac:dyDescent="0.35">
      <c r="A232" s="12">
        <f t="shared" si="13"/>
        <v>4</v>
      </c>
      <c r="B232" s="12" t="str">
        <f t="shared" si="14"/>
        <v>Jan2025</v>
      </c>
      <c r="C232" s="12" t="str">
        <f t="shared" si="15"/>
        <v>Thursday</v>
      </c>
      <c r="D232" s="13">
        <v>45680</v>
      </c>
      <c r="E232" s="14">
        <v>13</v>
      </c>
      <c r="F232" s="12">
        <v>10728777802</v>
      </c>
      <c r="G232" s="14" t="s">
        <v>4</v>
      </c>
      <c r="H232" s="14" t="s">
        <v>11</v>
      </c>
      <c r="I232" s="16" t="s">
        <v>35</v>
      </c>
      <c r="J232" s="14" t="str">
        <f t="shared" ca="1" si="12"/>
        <v>No</v>
      </c>
    </row>
    <row r="233" spans="1:10" x14ac:dyDescent="0.35">
      <c r="A233" s="12">
        <f t="shared" si="13"/>
        <v>4</v>
      </c>
      <c r="B233" s="12" t="str">
        <f t="shared" si="14"/>
        <v>Jan2025</v>
      </c>
      <c r="C233" s="12" t="str">
        <f t="shared" si="15"/>
        <v>Thursday</v>
      </c>
      <c r="D233" s="13">
        <v>45680</v>
      </c>
      <c r="E233" s="14">
        <v>14</v>
      </c>
      <c r="F233" s="12">
        <v>10721152382</v>
      </c>
      <c r="G233" s="14" t="s">
        <v>4</v>
      </c>
      <c r="H233" s="14" t="s">
        <v>21</v>
      </c>
      <c r="I233" s="16" t="s">
        <v>24</v>
      </c>
      <c r="J233" s="14" t="str">
        <f t="shared" ca="1" si="12"/>
        <v>No</v>
      </c>
    </row>
    <row r="234" spans="1:10" x14ac:dyDescent="0.35">
      <c r="A234" s="12">
        <f t="shared" si="13"/>
        <v>4</v>
      </c>
      <c r="B234" s="12" t="str">
        <f t="shared" si="14"/>
        <v>Jan2025</v>
      </c>
      <c r="C234" s="12" t="str">
        <f t="shared" si="15"/>
        <v>Thursday</v>
      </c>
      <c r="D234" s="13">
        <v>45680</v>
      </c>
      <c r="E234" s="14">
        <v>15</v>
      </c>
      <c r="F234" s="12">
        <v>10543349372</v>
      </c>
      <c r="G234" s="14" t="s">
        <v>3</v>
      </c>
      <c r="H234" s="14" t="s">
        <v>11</v>
      </c>
      <c r="I234" s="16" t="s">
        <v>16</v>
      </c>
      <c r="J234" s="14" t="str">
        <f t="shared" ca="1" si="12"/>
        <v>No</v>
      </c>
    </row>
    <row r="235" spans="1:10" x14ac:dyDescent="0.35">
      <c r="A235" s="12">
        <f t="shared" si="13"/>
        <v>4</v>
      </c>
      <c r="B235" s="12" t="str">
        <f t="shared" si="14"/>
        <v>Jan2025</v>
      </c>
      <c r="C235" s="12" t="str">
        <f t="shared" si="15"/>
        <v>Thursday</v>
      </c>
      <c r="D235" s="13">
        <v>45680</v>
      </c>
      <c r="E235" s="14">
        <v>16</v>
      </c>
      <c r="F235" s="12">
        <v>10731618572</v>
      </c>
      <c r="G235" s="14" t="s">
        <v>7</v>
      </c>
      <c r="H235" s="14" t="s">
        <v>21</v>
      </c>
      <c r="I235" s="16" t="s">
        <v>58</v>
      </c>
      <c r="J235" s="14" t="str">
        <f t="shared" ca="1" si="12"/>
        <v>No</v>
      </c>
    </row>
    <row r="236" spans="1:10" x14ac:dyDescent="0.35">
      <c r="A236" s="12">
        <f t="shared" si="13"/>
        <v>4</v>
      </c>
      <c r="B236" s="12" t="str">
        <f t="shared" si="14"/>
        <v>Jan2025</v>
      </c>
      <c r="C236" s="12" t="str">
        <f t="shared" si="15"/>
        <v>Thursday</v>
      </c>
      <c r="D236" s="13">
        <v>45680</v>
      </c>
      <c r="E236" s="14">
        <v>17</v>
      </c>
      <c r="F236" s="12">
        <v>10710385462</v>
      </c>
      <c r="G236" s="14" t="s">
        <v>4</v>
      </c>
      <c r="H236" s="14" t="s">
        <v>11</v>
      </c>
      <c r="I236" s="16" t="s">
        <v>98</v>
      </c>
      <c r="J236" s="14" t="str">
        <f t="shared" ca="1" si="12"/>
        <v>No</v>
      </c>
    </row>
    <row r="237" spans="1:10" x14ac:dyDescent="0.35">
      <c r="A237" s="12">
        <f t="shared" si="13"/>
        <v>4</v>
      </c>
      <c r="B237" s="12" t="str">
        <f t="shared" si="14"/>
        <v>Jan2025</v>
      </c>
      <c r="C237" s="12" t="str">
        <f t="shared" si="15"/>
        <v>Thursday</v>
      </c>
      <c r="D237" s="13">
        <v>45680</v>
      </c>
      <c r="E237" s="14">
        <v>18</v>
      </c>
      <c r="F237" s="12">
        <v>10732706252</v>
      </c>
      <c r="G237" s="14" t="s">
        <v>4</v>
      </c>
      <c r="H237" s="14" t="s">
        <v>61</v>
      </c>
      <c r="I237" s="16" t="s">
        <v>146</v>
      </c>
      <c r="J237" s="14" t="str">
        <f t="shared" ca="1" si="12"/>
        <v>Yes</v>
      </c>
    </row>
    <row r="238" spans="1:10" x14ac:dyDescent="0.35">
      <c r="A238" s="12">
        <f t="shared" si="13"/>
        <v>4</v>
      </c>
      <c r="B238" s="12" t="str">
        <f t="shared" si="14"/>
        <v>Jan2025</v>
      </c>
      <c r="C238" s="12" t="str">
        <f t="shared" si="15"/>
        <v>Thursday</v>
      </c>
      <c r="D238" s="13">
        <v>45680</v>
      </c>
      <c r="E238" s="14">
        <v>19</v>
      </c>
      <c r="F238" s="12">
        <v>10732441312</v>
      </c>
      <c r="G238" s="14" t="s">
        <v>4</v>
      </c>
      <c r="H238" s="14" t="s">
        <v>61</v>
      </c>
      <c r="I238" s="16" t="s">
        <v>81</v>
      </c>
      <c r="J238" s="14" t="str">
        <f t="shared" ca="1" si="12"/>
        <v>No</v>
      </c>
    </row>
    <row r="239" spans="1:10" x14ac:dyDescent="0.35">
      <c r="A239" s="12">
        <f t="shared" si="13"/>
        <v>4</v>
      </c>
      <c r="B239" s="12" t="str">
        <f t="shared" si="14"/>
        <v>Jan2025</v>
      </c>
      <c r="C239" s="12" t="str">
        <f t="shared" si="15"/>
        <v>Thursday</v>
      </c>
      <c r="D239" s="13">
        <v>45680</v>
      </c>
      <c r="E239" s="14">
        <v>20</v>
      </c>
      <c r="F239" s="12">
        <v>10730105232</v>
      </c>
      <c r="G239" s="14" t="s">
        <v>7</v>
      </c>
      <c r="H239" s="14" t="s">
        <v>61</v>
      </c>
      <c r="I239" s="16" t="s">
        <v>47</v>
      </c>
      <c r="J239" s="14" t="str">
        <f t="shared" ca="1" si="12"/>
        <v>Yes</v>
      </c>
    </row>
    <row r="240" spans="1:10" x14ac:dyDescent="0.35">
      <c r="A240" s="12">
        <f t="shared" si="13"/>
        <v>4</v>
      </c>
      <c r="B240" s="12" t="str">
        <f t="shared" si="14"/>
        <v>Jan2025</v>
      </c>
      <c r="C240" s="12" t="str">
        <f t="shared" si="15"/>
        <v>Thursday</v>
      </c>
      <c r="D240" s="13">
        <v>45680</v>
      </c>
      <c r="E240" s="14">
        <v>21</v>
      </c>
      <c r="F240" s="12">
        <v>10732715242</v>
      </c>
      <c r="G240" s="14" t="s">
        <v>4</v>
      </c>
      <c r="H240" s="14" t="s">
        <v>11</v>
      </c>
      <c r="I240" s="16" t="s">
        <v>60</v>
      </c>
      <c r="J240" s="14" t="str">
        <f t="shared" ca="1" si="12"/>
        <v>No</v>
      </c>
    </row>
    <row r="241" spans="1:10" x14ac:dyDescent="0.35">
      <c r="A241" s="12">
        <f t="shared" si="13"/>
        <v>4</v>
      </c>
      <c r="B241" s="12" t="str">
        <f t="shared" si="14"/>
        <v>Jan2025</v>
      </c>
      <c r="C241" s="12" t="str">
        <f t="shared" si="15"/>
        <v>Thursday</v>
      </c>
      <c r="D241" s="13">
        <v>45680</v>
      </c>
      <c r="E241" s="14">
        <v>22</v>
      </c>
      <c r="F241" s="12">
        <v>10724533972</v>
      </c>
      <c r="G241" s="14" t="s">
        <v>4</v>
      </c>
      <c r="H241" s="14" t="s">
        <v>11</v>
      </c>
      <c r="I241" s="16" t="s">
        <v>12</v>
      </c>
      <c r="J241" s="14" t="str">
        <f t="shared" ca="1" si="12"/>
        <v>No</v>
      </c>
    </row>
    <row r="242" spans="1:10" x14ac:dyDescent="0.35">
      <c r="A242" s="12">
        <f t="shared" si="13"/>
        <v>4</v>
      </c>
      <c r="B242" s="12" t="str">
        <f t="shared" si="14"/>
        <v>Jan2025</v>
      </c>
      <c r="C242" s="12" t="str">
        <f t="shared" si="15"/>
        <v>Thursday</v>
      </c>
      <c r="D242" s="13">
        <v>45680</v>
      </c>
      <c r="E242" s="14">
        <v>23</v>
      </c>
      <c r="F242" s="12">
        <v>10731420412</v>
      </c>
      <c r="G242" s="14" t="s">
        <v>4</v>
      </c>
      <c r="H242" s="14" t="s">
        <v>11</v>
      </c>
      <c r="I242" s="16" t="s">
        <v>138</v>
      </c>
      <c r="J242" s="14" t="str">
        <f t="shared" ca="1" si="12"/>
        <v>No</v>
      </c>
    </row>
    <row r="243" spans="1:10" x14ac:dyDescent="0.35">
      <c r="A243" s="12">
        <f t="shared" si="13"/>
        <v>4</v>
      </c>
      <c r="B243" s="12" t="str">
        <f t="shared" si="14"/>
        <v>Jan2025</v>
      </c>
      <c r="C243" s="12" t="str">
        <f t="shared" si="15"/>
        <v>Thursday</v>
      </c>
      <c r="D243" s="13">
        <v>45680</v>
      </c>
      <c r="E243" s="14">
        <v>24</v>
      </c>
      <c r="F243" s="12">
        <v>10732921942</v>
      </c>
      <c r="G243" s="14" t="s">
        <v>7</v>
      </c>
      <c r="H243" s="14" t="s">
        <v>61</v>
      </c>
      <c r="I243" s="16" t="s">
        <v>149</v>
      </c>
      <c r="J243" s="14" t="str">
        <f t="shared" ca="1" si="12"/>
        <v>No</v>
      </c>
    </row>
    <row r="244" spans="1:10" x14ac:dyDescent="0.35">
      <c r="A244" s="12">
        <f t="shared" si="13"/>
        <v>4</v>
      </c>
      <c r="B244" s="12" t="str">
        <f t="shared" si="14"/>
        <v>Jan2025</v>
      </c>
      <c r="C244" s="12" t="str">
        <f t="shared" si="15"/>
        <v>Thursday</v>
      </c>
      <c r="D244" s="13">
        <v>45680</v>
      </c>
      <c r="E244" s="14">
        <v>25</v>
      </c>
      <c r="F244" s="12">
        <v>10733025542</v>
      </c>
      <c r="G244" s="14" t="s">
        <v>4</v>
      </c>
      <c r="H244" s="14" t="s">
        <v>61</v>
      </c>
      <c r="I244" s="16" t="s">
        <v>157</v>
      </c>
      <c r="J244" s="14" t="str">
        <f t="shared" ca="1" si="12"/>
        <v>No</v>
      </c>
    </row>
    <row r="245" spans="1:10" x14ac:dyDescent="0.35">
      <c r="A245" s="12">
        <f t="shared" si="13"/>
        <v>4</v>
      </c>
      <c r="B245" s="12" t="str">
        <f t="shared" si="14"/>
        <v>Jan2025</v>
      </c>
      <c r="C245" s="12" t="str">
        <f t="shared" si="15"/>
        <v>Friday</v>
      </c>
      <c r="D245" s="13">
        <v>45681</v>
      </c>
      <c r="E245" s="14">
        <v>1</v>
      </c>
      <c r="F245" s="12">
        <v>10724800722</v>
      </c>
      <c r="G245" s="14" t="s">
        <v>4</v>
      </c>
      <c r="H245" s="14" t="s">
        <v>21</v>
      </c>
      <c r="I245" s="16" t="s">
        <v>33</v>
      </c>
      <c r="J245" s="14" t="str">
        <f t="shared" ca="1" si="12"/>
        <v>No</v>
      </c>
    </row>
    <row r="246" spans="1:10" x14ac:dyDescent="0.35">
      <c r="A246" s="12">
        <f t="shared" si="13"/>
        <v>4</v>
      </c>
      <c r="B246" s="12" t="str">
        <f t="shared" si="14"/>
        <v>Jan2025</v>
      </c>
      <c r="C246" s="12" t="str">
        <f t="shared" si="15"/>
        <v>Friday</v>
      </c>
      <c r="D246" s="13">
        <v>45681</v>
      </c>
      <c r="E246" s="14">
        <v>2</v>
      </c>
      <c r="F246" s="12">
        <v>10725698152</v>
      </c>
      <c r="G246" s="14" t="s">
        <v>7</v>
      </c>
      <c r="H246" s="14" t="s">
        <v>21</v>
      </c>
      <c r="I246" s="16" t="s">
        <v>115</v>
      </c>
      <c r="J246" s="14" t="str">
        <f t="shared" ca="1" si="12"/>
        <v>No</v>
      </c>
    </row>
    <row r="247" spans="1:10" x14ac:dyDescent="0.35">
      <c r="A247" s="12">
        <f t="shared" si="13"/>
        <v>4</v>
      </c>
      <c r="B247" s="12" t="str">
        <f t="shared" si="14"/>
        <v>Jan2025</v>
      </c>
      <c r="C247" s="12" t="str">
        <f t="shared" si="15"/>
        <v>Friday</v>
      </c>
      <c r="D247" s="13">
        <v>45681</v>
      </c>
      <c r="E247" s="14">
        <v>3</v>
      </c>
      <c r="F247" s="12">
        <v>10734767862</v>
      </c>
      <c r="G247" s="14" t="s">
        <v>4</v>
      </c>
      <c r="H247" s="14" t="s">
        <v>61</v>
      </c>
      <c r="I247" s="16" t="s">
        <v>138</v>
      </c>
      <c r="J247" s="14" t="str">
        <f t="shared" ca="1" si="12"/>
        <v>Yes</v>
      </c>
    </row>
    <row r="248" spans="1:10" x14ac:dyDescent="0.35">
      <c r="A248" s="12">
        <f t="shared" si="13"/>
        <v>4</v>
      </c>
      <c r="B248" s="12" t="str">
        <f t="shared" si="14"/>
        <v>Jan2025</v>
      </c>
      <c r="C248" s="12" t="str">
        <f t="shared" si="15"/>
        <v>Friday</v>
      </c>
      <c r="D248" s="13">
        <v>45681</v>
      </c>
      <c r="E248" s="14">
        <v>4</v>
      </c>
      <c r="F248" s="12">
        <v>10724221972</v>
      </c>
      <c r="G248" s="14" t="s">
        <v>5</v>
      </c>
      <c r="H248" s="14" t="s">
        <v>21</v>
      </c>
      <c r="I248" s="16" t="s">
        <v>35</v>
      </c>
      <c r="J248" s="14" t="str">
        <f t="shared" ca="1" si="12"/>
        <v>Yes</v>
      </c>
    </row>
    <row r="249" spans="1:10" x14ac:dyDescent="0.35">
      <c r="A249" s="12">
        <f t="shared" si="13"/>
        <v>4</v>
      </c>
      <c r="B249" s="12" t="str">
        <f t="shared" si="14"/>
        <v>Jan2025</v>
      </c>
      <c r="C249" s="12" t="str">
        <f t="shared" si="15"/>
        <v>Friday</v>
      </c>
      <c r="D249" s="13">
        <v>45681</v>
      </c>
      <c r="E249" s="14">
        <v>5</v>
      </c>
      <c r="F249" s="12">
        <v>10734354762</v>
      </c>
      <c r="G249" s="14" t="s">
        <v>4</v>
      </c>
      <c r="H249" s="14" t="s">
        <v>11</v>
      </c>
      <c r="I249" s="16" t="s">
        <v>98</v>
      </c>
      <c r="J249" s="14" t="str">
        <f t="shared" ca="1" si="12"/>
        <v>Yes</v>
      </c>
    </row>
    <row r="250" spans="1:10" x14ac:dyDescent="0.35">
      <c r="A250" s="12">
        <f t="shared" si="13"/>
        <v>4</v>
      </c>
      <c r="B250" s="12" t="str">
        <f t="shared" si="14"/>
        <v>Jan2025</v>
      </c>
      <c r="C250" s="12" t="str">
        <f t="shared" si="15"/>
        <v>Friday</v>
      </c>
      <c r="D250" s="13">
        <v>45681</v>
      </c>
      <c r="E250" s="14">
        <v>6</v>
      </c>
      <c r="F250" s="12">
        <v>10734509412</v>
      </c>
      <c r="G250" s="14" t="s">
        <v>7</v>
      </c>
      <c r="H250" s="14" t="s">
        <v>21</v>
      </c>
      <c r="I250" s="16" t="s">
        <v>58</v>
      </c>
      <c r="J250" s="14" t="str">
        <f t="shared" ca="1" si="12"/>
        <v>No</v>
      </c>
    </row>
    <row r="251" spans="1:10" x14ac:dyDescent="0.35">
      <c r="A251" s="12">
        <f t="shared" si="13"/>
        <v>4</v>
      </c>
      <c r="B251" s="12" t="str">
        <f t="shared" si="14"/>
        <v>Jan2025</v>
      </c>
      <c r="C251" s="12" t="str">
        <f t="shared" si="15"/>
        <v>Friday</v>
      </c>
      <c r="D251" s="13">
        <v>45681</v>
      </c>
      <c r="E251" s="14">
        <v>7</v>
      </c>
      <c r="F251" s="12">
        <v>10727444522</v>
      </c>
      <c r="G251" s="14" t="s">
        <v>3</v>
      </c>
      <c r="H251" s="14" t="s">
        <v>11</v>
      </c>
      <c r="I251" s="16" t="s">
        <v>16</v>
      </c>
      <c r="J251" s="14" t="str">
        <f t="shared" ca="1" si="12"/>
        <v>No</v>
      </c>
    </row>
    <row r="252" spans="1:10" x14ac:dyDescent="0.35">
      <c r="A252" s="12">
        <f t="shared" si="13"/>
        <v>4</v>
      </c>
      <c r="B252" s="12" t="str">
        <f t="shared" si="14"/>
        <v>Jan2025</v>
      </c>
      <c r="C252" s="12" t="str">
        <f t="shared" si="15"/>
        <v>Friday</v>
      </c>
      <c r="D252" s="13">
        <v>45681</v>
      </c>
      <c r="E252" s="14">
        <v>8</v>
      </c>
      <c r="F252" s="12">
        <v>10735347652</v>
      </c>
      <c r="G252" s="14" t="s">
        <v>4</v>
      </c>
      <c r="H252" s="14" t="s">
        <v>61</v>
      </c>
      <c r="I252" s="16" t="s">
        <v>54</v>
      </c>
      <c r="J252" s="14" t="str">
        <f t="shared" ca="1" si="12"/>
        <v>Yes</v>
      </c>
    </row>
    <row r="253" spans="1:10" x14ac:dyDescent="0.35">
      <c r="A253" s="12">
        <f t="shared" si="13"/>
        <v>4</v>
      </c>
      <c r="B253" s="12" t="str">
        <f t="shared" si="14"/>
        <v>Jan2025</v>
      </c>
      <c r="C253" s="12" t="str">
        <f t="shared" si="15"/>
        <v>Friday</v>
      </c>
      <c r="D253" s="13">
        <v>45681</v>
      </c>
      <c r="E253" s="14">
        <v>9</v>
      </c>
      <c r="F253" s="12">
        <v>10656405392</v>
      </c>
      <c r="G253" s="14" t="s">
        <v>4</v>
      </c>
      <c r="H253" s="14" t="s">
        <v>61</v>
      </c>
      <c r="I253" s="16" t="s">
        <v>52</v>
      </c>
      <c r="J253" s="14" t="str">
        <f t="shared" ca="1" si="12"/>
        <v>No</v>
      </c>
    </row>
    <row r="254" spans="1:10" x14ac:dyDescent="0.35">
      <c r="A254" s="12">
        <f t="shared" si="13"/>
        <v>4</v>
      </c>
      <c r="B254" s="12" t="str">
        <f t="shared" si="14"/>
        <v>Jan2025</v>
      </c>
      <c r="C254" s="12" t="str">
        <f t="shared" si="15"/>
        <v>Friday</v>
      </c>
      <c r="D254" s="13">
        <v>45681</v>
      </c>
      <c r="E254" s="14">
        <v>10</v>
      </c>
      <c r="F254" s="12">
        <v>10734149542</v>
      </c>
      <c r="G254" s="14" t="s">
        <v>7</v>
      </c>
      <c r="H254" s="14" t="s">
        <v>21</v>
      </c>
      <c r="I254" s="16" t="s">
        <v>28</v>
      </c>
      <c r="J254" s="14" t="str">
        <f t="shared" ca="1" si="12"/>
        <v>No</v>
      </c>
    </row>
    <row r="255" spans="1:10" x14ac:dyDescent="0.35">
      <c r="A255" s="12">
        <f t="shared" si="13"/>
        <v>4</v>
      </c>
      <c r="B255" s="12" t="str">
        <f t="shared" si="14"/>
        <v>Jan2025</v>
      </c>
      <c r="C255" s="12" t="str">
        <f t="shared" si="15"/>
        <v>Friday</v>
      </c>
      <c r="D255" s="13">
        <v>45681</v>
      </c>
      <c r="E255" s="14">
        <v>11</v>
      </c>
      <c r="F255" s="12">
        <v>10735461232</v>
      </c>
      <c r="G255" s="14" t="s">
        <v>4</v>
      </c>
      <c r="H255" s="14" t="s">
        <v>61</v>
      </c>
      <c r="I255" s="16" t="s">
        <v>54</v>
      </c>
      <c r="J255" s="14" t="str">
        <f t="shared" ca="1" si="12"/>
        <v>Yes</v>
      </c>
    </row>
    <row r="256" spans="1:10" x14ac:dyDescent="0.35">
      <c r="A256" s="12">
        <f t="shared" si="13"/>
        <v>4</v>
      </c>
      <c r="B256" s="12" t="str">
        <f t="shared" si="14"/>
        <v>Jan2025</v>
      </c>
      <c r="C256" s="12" t="str">
        <f t="shared" si="15"/>
        <v>Friday</v>
      </c>
      <c r="D256" s="13">
        <v>45681</v>
      </c>
      <c r="E256" s="14">
        <v>12</v>
      </c>
      <c r="F256" s="12">
        <v>10735215202</v>
      </c>
      <c r="G256" s="14" t="s">
        <v>4</v>
      </c>
      <c r="H256" s="14" t="s">
        <v>61</v>
      </c>
      <c r="I256" s="16" t="s">
        <v>113</v>
      </c>
      <c r="J256" s="14" t="str">
        <f t="shared" ca="1" si="12"/>
        <v>Yes</v>
      </c>
    </row>
    <row r="257" spans="1:10" x14ac:dyDescent="0.35">
      <c r="A257" s="12">
        <f t="shared" si="13"/>
        <v>4</v>
      </c>
      <c r="B257" s="12" t="str">
        <f t="shared" si="14"/>
        <v>Jan2025</v>
      </c>
      <c r="C257" s="12" t="str">
        <f t="shared" si="15"/>
        <v>Friday</v>
      </c>
      <c r="D257" s="13">
        <v>45681</v>
      </c>
      <c r="E257" s="14">
        <v>13</v>
      </c>
      <c r="F257" s="12">
        <v>10712023852</v>
      </c>
      <c r="G257" s="14" t="s">
        <v>5</v>
      </c>
      <c r="H257" s="14" t="s">
        <v>21</v>
      </c>
      <c r="I257" s="16" t="s">
        <v>51</v>
      </c>
      <c r="J257" s="14" t="str">
        <f t="shared" ca="1" si="12"/>
        <v>No</v>
      </c>
    </row>
    <row r="258" spans="1:10" x14ac:dyDescent="0.35">
      <c r="A258" s="12">
        <f t="shared" si="13"/>
        <v>4</v>
      </c>
      <c r="B258" s="12" t="str">
        <f t="shared" si="14"/>
        <v>Jan2025</v>
      </c>
      <c r="C258" s="12" t="str">
        <f t="shared" si="15"/>
        <v>Friday</v>
      </c>
      <c r="D258" s="13">
        <v>45681</v>
      </c>
      <c r="E258" s="14">
        <v>14</v>
      </c>
      <c r="F258" s="12">
        <v>10735110602</v>
      </c>
      <c r="G258" s="14" t="s">
        <v>4</v>
      </c>
      <c r="H258" s="14" t="s">
        <v>11</v>
      </c>
      <c r="I258" s="16" t="s">
        <v>32</v>
      </c>
      <c r="J258" s="14" t="str">
        <f t="shared" ref="J258:J321" ca="1" si="16">IF(RAND()&lt;0.2,"Yes","No")</f>
        <v>No</v>
      </c>
    </row>
    <row r="259" spans="1:10" x14ac:dyDescent="0.35">
      <c r="A259" s="12">
        <f t="shared" ref="A259:A322" si="17">WEEKNUM(D259)</f>
        <v>4</v>
      </c>
      <c r="B259" s="12" t="str">
        <f t="shared" ref="B259:B322" si="18">TEXT(D259,"MMMYYYY")</f>
        <v>Jan2025</v>
      </c>
      <c r="C259" s="12" t="str">
        <f t="shared" ref="C259:C322" si="19">TEXT(D259,"dddd")</f>
        <v>Friday</v>
      </c>
      <c r="D259" s="13">
        <v>45681</v>
      </c>
      <c r="E259" s="14">
        <v>15</v>
      </c>
      <c r="F259" s="12">
        <v>10735202482</v>
      </c>
      <c r="G259" s="14" t="s">
        <v>3</v>
      </c>
      <c r="H259" s="14" t="s">
        <v>11</v>
      </c>
      <c r="I259" s="16" t="s">
        <v>16</v>
      </c>
      <c r="J259" s="14" t="str">
        <f t="shared" ca="1" si="16"/>
        <v>No</v>
      </c>
    </row>
    <row r="260" spans="1:10" x14ac:dyDescent="0.35">
      <c r="A260" s="12">
        <f t="shared" si="17"/>
        <v>4</v>
      </c>
      <c r="B260" s="12" t="str">
        <f t="shared" si="18"/>
        <v>Jan2025</v>
      </c>
      <c r="C260" s="12" t="str">
        <f t="shared" si="19"/>
        <v>Friday</v>
      </c>
      <c r="D260" s="13">
        <v>45681</v>
      </c>
      <c r="E260" s="14">
        <v>16</v>
      </c>
      <c r="F260" s="12">
        <v>10728486162</v>
      </c>
      <c r="G260" s="14" t="s">
        <v>4</v>
      </c>
      <c r="H260" s="14" t="s">
        <v>61</v>
      </c>
      <c r="I260" s="16" t="s">
        <v>52</v>
      </c>
      <c r="J260" s="14" t="str">
        <f t="shared" ca="1" si="16"/>
        <v>No</v>
      </c>
    </row>
    <row r="261" spans="1:10" x14ac:dyDescent="0.35">
      <c r="A261" s="12">
        <f t="shared" si="17"/>
        <v>4</v>
      </c>
      <c r="B261" s="12" t="str">
        <f t="shared" si="18"/>
        <v>Jan2025</v>
      </c>
      <c r="C261" s="12" t="str">
        <f t="shared" si="19"/>
        <v>Friday</v>
      </c>
      <c r="D261" s="13">
        <v>45681</v>
      </c>
      <c r="E261" s="14">
        <v>17</v>
      </c>
      <c r="F261" s="12">
        <v>10712023852</v>
      </c>
      <c r="G261" s="14" t="s">
        <v>5</v>
      </c>
      <c r="H261" s="14" t="s">
        <v>21</v>
      </c>
      <c r="I261" s="16" t="s">
        <v>51</v>
      </c>
      <c r="J261" s="14" t="str">
        <f t="shared" ca="1" si="16"/>
        <v>No</v>
      </c>
    </row>
    <row r="262" spans="1:10" x14ac:dyDescent="0.35">
      <c r="A262" s="12">
        <f t="shared" si="17"/>
        <v>4</v>
      </c>
      <c r="B262" s="12" t="str">
        <f t="shared" si="18"/>
        <v>Jan2025</v>
      </c>
      <c r="C262" s="12" t="str">
        <f t="shared" si="19"/>
        <v>Friday</v>
      </c>
      <c r="D262" s="13">
        <v>45681</v>
      </c>
      <c r="E262" s="14">
        <v>18</v>
      </c>
      <c r="F262" s="12">
        <v>10720763802</v>
      </c>
      <c r="G262" s="14" t="s">
        <v>4</v>
      </c>
      <c r="H262" s="14" t="s">
        <v>11</v>
      </c>
      <c r="I262" s="16" t="s">
        <v>12</v>
      </c>
      <c r="J262" s="14" t="str">
        <f t="shared" ca="1" si="16"/>
        <v>No</v>
      </c>
    </row>
    <row r="263" spans="1:10" x14ac:dyDescent="0.35">
      <c r="A263" s="12">
        <f t="shared" si="17"/>
        <v>4</v>
      </c>
      <c r="B263" s="12" t="str">
        <f t="shared" si="18"/>
        <v>Jan2025</v>
      </c>
      <c r="C263" s="12" t="str">
        <f t="shared" si="19"/>
        <v>Friday</v>
      </c>
      <c r="D263" s="13">
        <v>45681</v>
      </c>
      <c r="E263" s="14">
        <v>19</v>
      </c>
      <c r="F263" s="12">
        <v>10735416072</v>
      </c>
      <c r="G263" s="14" t="s">
        <v>7</v>
      </c>
      <c r="H263" s="14" t="s">
        <v>21</v>
      </c>
      <c r="I263" s="16" t="s">
        <v>58</v>
      </c>
      <c r="J263" s="14" t="str">
        <f t="shared" ca="1" si="16"/>
        <v>No</v>
      </c>
    </row>
    <row r="264" spans="1:10" x14ac:dyDescent="0.35">
      <c r="A264" s="12">
        <f t="shared" si="17"/>
        <v>4</v>
      </c>
      <c r="B264" s="12" t="str">
        <f t="shared" si="18"/>
        <v>Jan2025</v>
      </c>
      <c r="C264" s="12" t="str">
        <f t="shared" si="19"/>
        <v>Friday</v>
      </c>
      <c r="D264" s="13">
        <v>45681</v>
      </c>
      <c r="E264" s="14">
        <v>20</v>
      </c>
      <c r="F264" s="12">
        <v>10735364342</v>
      </c>
      <c r="G264" s="14" t="s">
        <v>7</v>
      </c>
      <c r="H264" s="14" t="s">
        <v>21</v>
      </c>
      <c r="I264" s="16" t="s">
        <v>58</v>
      </c>
      <c r="J264" s="14" t="str">
        <f t="shared" ca="1" si="16"/>
        <v>No</v>
      </c>
    </row>
    <row r="265" spans="1:10" x14ac:dyDescent="0.35">
      <c r="A265" s="12">
        <f t="shared" si="17"/>
        <v>4</v>
      </c>
      <c r="B265" s="12" t="str">
        <f t="shared" si="18"/>
        <v>Jan2025</v>
      </c>
      <c r="C265" s="12" t="str">
        <f t="shared" si="19"/>
        <v>Friday</v>
      </c>
      <c r="D265" s="13">
        <v>45681</v>
      </c>
      <c r="E265" s="14">
        <v>21</v>
      </c>
      <c r="F265" s="12">
        <v>10735947312</v>
      </c>
      <c r="G265" s="14" t="s">
        <v>5</v>
      </c>
      <c r="H265" s="14" t="s">
        <v>61</v>
      </c>
      <c r="I265" s="16" t="s">
        <v>102</v>
      </c>
      <c r="J265" s="14" t="str">
        <f t="shared" ca="1" si="16"/>
        <v>No</v>
      </c>
    </row>
    <row r="266" spans="1:10" x14ac:dyDescent="0.35">
      <c r="A266" s="12">
        <f t="shared" si="17"/>
        <v>4</v>
      </c>
      <c r="B266" s="12" t="str">
        <f t="shared" si="18"/>
        <v>Jan2025</v>
      </c>
      <c r="C266" s="12" t="str">
        <f t="shared" si="19"/>
        <v>Saturday</v>
      </c>
      <c r="D266" s="13">
        <v>45682</v>
      </c>
      <c r="E266" s="14">
        <v>1</v>
      </c>
      <c r="F266" s="12">
        <v>10729742812</v>
      </c>
      <c r="G266" s="14" t="s">
        <v>4</v>
      </c>
      <c r="H266" s="14" t="s">
        <v>21</v>
      </c>
      <c r="I266" s="16" t="s">
        <v>24</v>
      </c>
      <c r="J266" s="14" t="str">
        <f t="shared" ca="1" si="16"/>
        <v>No</v>
      </c>
    </row>
    <row r="267" spans="1:10" x14ac:dyDescent="0.35">
      <c r="A267" s="12">
        <f t="shared" si="17"/>
        <v>4</v>
      </c>
      <c r="B267" s="12" t="str">
        <f t="shared" si="18"/>
        <v>Jan2025</v>
      </c>
      <c r="C267" s="12" t="str">
        <f t="shared" si="19"/>
        <v>Saturday</v>
      </c>
      <c r="D267" s="13">
        <v>45682</v>
      </c>
      <c r="E267" s="14">
        <v>2</v>
      </c>
      <c r="F267" s="12">
        <v>10736585722</v>
      </c>
      <c r="G267" s="14" t="s">
        <v>4</v>
      </c>
      <c r="H267" s="14" t="s">
        <v>11</v>
      </c>
      <c r="I267" s="16" t="s">
        <v>32</v>
      </c>
      <c r="J267" s="14" t="str">
        <f t="shared" ca="1" si="16"/>
        <v>No</v>
      </c>
    </row>
    <row r="268" spans="1:10" x14ac:dyDescent="0.35">
      <c r="A268" s="12">
        <f t="shared" si="17"/>
        <v>4</v>
      </c>
      <c r="B268" s="12" t="str">
        <f t="shared" si="18"/>
        <v>Jan2025</v>
      </c>
      <c r="C268" s="12" t="str">
        <f t="shared" si="19"/>
        <v>Saturday</v>
      </c>
      <c r="D268" s="13">
        <v>45682</v>
      </c>
      <c r="E268" s="14">
        <v>3</v>
      </c>
      <c r="F268" s="12">
        <v>10131856552</v>
      </c>
      <c r="G268" s="14" t="s">
        <v>3</v>
      </c>
      <c r="H268" s="14" t="s">
        <v>11</v>
      </c>
      <c r="I268" s="16" t="s">
        <v>16</v>
      </c>
      <c r="J268" s="14" t="str">
        <f t="shared" ca="1" si="16"/>
        <v>No</v>
      </c>
    </row>
    <row r="269" spans="1:10" x14ac:dyDescent="0.35">
      <c r="A269" s="12">
        <f t="shared" si="17"/>
        <v>4</v>
      </c>
      <c r="B269" s="12" t="str">
        <f t="shared" si="18"/>
        <v>Jan2025</v>
      </c>
      <c r="C269" s="12" t="str">
        <f t="shared" si="19"/>
        <v>Saturday</v>
      </c>
      <c r="D269" s="13">
        <v>45682</v>
      </c>
      <c r="E269" s="14">
        <v>4</v>
      </c>
      <c r="F269" s="12">
        <v>10737613462</v>
      </c>
      <c r="G269" s="14" t="s">
        <v>4</v>
      </c>
      <c r="H269" s="14" t="s">
        <v>11</v>
      </c>
      <c r="I269" s="16" t="s">
        <v>32</v>
      </c>
      <c r="J269" s="14" t="str">
        <f t="shared" ca="1" si="16"/>
        <v>No</v>
      </c>
    </row>
    <row r="270" spans="1:10" x14ac:dyDescent="0.35">
      <c r="A270" s="12">
        <f t="shared" si="17"/>
        <v>4</v>
      </c>
      <c r="B270" s="12" t="str">
        <f t="shared" si="18"/>
        <v>Jan2025</v>
      </c>
      <c r="C270" s="12" t="str">
        <f t="shared" si="19"/>
        <v>Saturday</v>
      </c>
      <c r="D270" s="13">
        <v>45682</v>
      </c>
      <c r="E270" s="14">
        <v>5</v>
      </c>
      <c r="F270" s="12">
        <v>10706743272</v>
      </c>
      <c r="G270" s="14" t="s">
        <v>7</v>
      </c>
      <c r="H270" s="14" t="s">
        <v>11</v>
      </c>
      <c r="I270" s="16" t="s">
        <v>95</v>
      </c>
      <c r="J270" s="14" t="str">
        <f t="shared" ca="1" si="16"/>
        <v>No</v>
      </c>
    </row>
    <row r="271" spans="1:10" x14ac:dyDescent="0.35">
      <c r="A271" s="12">
        <f t="shared" si="17"/>
        <v>4</v>
      </c>
      <c r="B271" s="12" t="str">
        <f t="shared" si="18"/>
        <v>Jan2025</v>
      </c>
      <c r="C271" s="12" t="str">
        <f t="shared" si="19"/>
        <v>Saturday</v>
      </c>
      <c r="D271" s="13">
        <v>45682</v>
      </c>
      <c r="E271" s="14">
        <v>6</v>
      </c>
      <c r="F271" s="12">
        <v>10737690732</v>
      </c>
      <c r="G271" s="14" t="s">
        <v>4</v>
      </c>
      <c r="H271" s="14" t="s">
        <v>11</v>
      </c>
      <c r="I271" s="16" t="s">
        <v>13</v>
      </c>
      <c r="J271" s="14" t="str">
        <f t="shared" ca="1" si="16"/>
        <v>Yes</v>
      </c>
    </row>
    <row r="272" spans="1:10" x14ac:dyDescent="0.35">
      <c r="A272" s="12">
        <f t="shared" si="17"/>
        <v>4</v>
      </c>
      <c r="B272" s="12" t="str">
        <f t="shared" si="18"/>
        <v>Jan2025</v>
      </c>
      <c r="C272" s="12" t="str">
        <f t="shared" si="19"/>
        <v>Saturday</v>
      </c>
      <c r="D272" s="13">
        <v>45682</v>
      </c>
      <c r="E272" s="14">
        <v>7</v>
      </c>
      <c r="F272" s="12">
        <v>10731439992</v>
      </c>
      <c r="G272" s="14" t="s">
        <v>7</v>
      </c>
      <c r="H272" s="14" t="s">
        <v>21</v>
      </c>
      <c r="I272" s="16" t="s">
        <v>57</v>
      </c>
      <c r="J272" s="14" t="str">
        <f t="shared" ca="1" si="16"/>
        <v>Yes</v>
      </c>
    </row>
    <row r="273" spans="1:10" x14ac:dyDescent="0.35">
      <c r="A273" s="12">
        <f t="shared" si="17"/>
        <v>4</v>
      </c>
      <c r="B273" s="12" t="str">
        <f t="shared" si="18"/>
        <v>Jan2025</v>
      </c>
      <c r="C273" s="12" t="str">
        <f t="shared" si="19"/>
        <v>Saturday</v>
      </c>
      <c r="D273" s="13">
        <v>45682</v>
      </c>
      <c r="E273" s="14">
        <v>8</v>
      </c>
      <c r="F273" s="12">
        <v>10529503402</v>
      </c>
      <c r="G273" s="14" t="s">
        <v>3</v>
      </c>
      <c r="H273" s="14" t="s">
        <v>21</v>
      </c>
      <c r="I273" s="16" t="s">
        <v>16</v>
      </c>
      <c r="J273" s="14" t="str">
        <f t="shared" ca="1" si="16"/>
        <v>No</v>
      </c>
    </row>
    <row r="274" spans="1:10" x14ac:dyDescent="0.35">
      <c r="A274" s="12">
        <f t="shared" si="17"/>
        <v>4</v>
      </c>
      <c r="B274" s="12" t="str">
        <f t="shared" si="18"/>
        <v>Jan2025</v>
      </c>
      <c r="C274" s="12" t="str">
        <f t="shared" si="19"/>
        <v>Saturday</v>
      </c>
      <c r="D274" s="13">
        <v>45682</v>
      </c>
      <c r="E274" s="14">
        <v>9</v>
      </c>
      <c r="F274" s="12">
        <v>10737841822</v>
      </c>
      <c r="G274" s="14" t="s">
        <v>5</v>
      </c>
      <c r="H274" s="14" t="s">
        <v>11</v>
      </c>
      <c r="I274" s="16" t="s">
        <v>46</v>
      </c>
      <c r="J274" s="14" t="str">
        <f t="shared" ca="1" si="16"/>
        <v>No</v>
      </c>
    </row>
    <row r="275" spans="1:10" x14ac:dyDescent="0.35">
      <c r="A275" s="12">
        <f t="shared" si="17"/>
        <v>4</v>
      </c>
      <c r="B275" s="12" t="str">
        <f t="shared" si="18"/>
        <v>Jan2025</v>
      </c>
      <c r="C275" s="12" t="str">
        <f t="shared" si="19"/>
        <v>Saturday</v>
      </c>
      <c r="D275" s="13">
        <v>45682</v>
      </c>
      <c r="E275" s="14">
        <v>10</v>
      </c>
      <c r="F275" s="12">
        <v>10737890512</v>
      </c>
      <c r="G275" s="14" t="s">
        <v>4</v>
      </c>
      <c r="H275" s="14" t="s">
        <v>61</v>
      </c>
      <c r="I275" s="16" t="s">
        <v>49</v>
      </c>
      <c r="J275" s="14" t="str">
        <f t="shared" ca="1" si="16"/>
        <v>No</v>
      </c>
    </row>
    <row r="276" spans="1:10" x14ac:dyDescent="0.35">
      <c r="A276" s="12">
        <f t="shared" si="17"/>
        <v>4</v>
      </c>
      <c r="B276" s="12" t="str">
        <f t="shared" si="18"/>
        <v>Jan2025</v>
      </c>
      <c r="C276" s="12" t="str">
        <f t="shared" si="19"/>
        <v>Saturday</v>
      </c>
      <c r="D276" s="13">
        <v>45682</v>
      </c>
      <c r="E276" s="14">
        <v>11</v>
      </c>
      <c r="F276" s="12">
        <v>10737638822</v>
      </c>
      <c r="G276" s="14" t="s">
        <v>4</v>
      </c>
      <c r="H276" s="14" t="s">
        <v>21</v>
      </c>
      <c r="I276" s="16" t="s">
        <v>33</v>
      </c>
      <c r="J276" s="14" t="str">
        <f t="shared" ca="1" si="16"/>
        <v>No</v>
      </c>
    </row>
    <row r="277" spans="1:10" x14ac:dyDescent="0.35">
      <c r="A277" s="12">
        <f t="shared" si="17"/>
        <v>4</v>
      </c>
      <c r="B277" s="12" t="str">
        <f t="shared" si="18"/>
        <v>Jan2025</v>
      </c>
      <c r="C277" s="12" t="str">
        <f t="shared" si="19"/>
        <v>Saturday</v>
      </c>
      <c r="D277" s="13">
        <v>45682</v>
      </c>
      <c r="E277" s="14">
        <v>12</v>
      </c>
      <c r="F277" s="12">
        <v>10726363072</v>
      </c>
      <c r="G277" s="14" t="s">
        <v>3</v>
      </c>
      <c r="H277" s="14" t="s">
        <v>11</v>
      </c>
      <c r="I277" s="16" t="s">
        <v>16</v>
      </c>
      <c r="J277" s="14" t="str">
        <f t="shared" ca="1" si="16"/>
        <v>No</v>
      </c>
    </row>
    <row r="278" spans="1:10" x14ac:dyDescent="0.35">
      <c r="A278" s="12">
        <f t="shared" si="17"/>
        <v>4</v>
      </c>
      <c r="B278" s="12" t="str">
        <f t="shared" si="18"/>
        <v>Jan2025</v>
      </c>
      <c r="C278" s="12" t="str">
        <f t="shared" si="19"/>
        <v>Saturday</v>
      </c>
      <c r="D278" s="13">
        <v>45682</v>
      </c>
      <c r="E278" s="14">
        <v>13</v>
      </c>
      <c r="F278" s="12">
        <v>10737529992</v>
      </c>
      <c r="G278" s="14" t="s">
        <v>3</v>
      </c>
      <c r="H278" s="14" t="s">
        <v>11</v>
      </c>
      <c r="I278" s="16" t="s">
        <v>85</v>
      </c>
      <c r="J278" s="14" t="str">
        <f t="shared" ca="1" si="16"/>
        <v>No</v>
      </c>
    </row>
    <row r="279" spans="1:10" x14ac:dyDescent="0.35">
      <c r="A279" s="12">
        <f t="shared" si="17"/>
        <v>4</v>
      </c>
      <c r="B279" s="12" t="str">
        <f t="shared" si="18"/>
        <v>Jan2025</v>
      </c>
      <c r="C279" s="12" t="str">
        <f t="shared" si="19"/>
        <v>Saturday</v>
      </c>
      <c r="D279" s="13">
        <v>45682</v>
      </c>
      <c r="E279" s="14">
        <v>14</v>
      </c>
      <c r="F279" s="12">
        <v>10738130702</v>
      </c>
      <c r="G279" s="14" t="s">
        <v>4</v>
      </c>
      <c r="H279" s="14" t="s">
        <v>11</v>
      </c>
      <c r="I279" s="16" t="s">
        <v>77</v>
      </c>
      <c r="J279" s="14" t="str">
        <f t="shared" ca="1" si="16"/>
        <v>No</v>
      </c>
    </row>
    <row r="280" spans="1:10" x14ac:dyDescent="0.35">
      <c r="A280" s="12">
        <f t="shared" si="17"/>
        <v>4</v>
      </c>
      <c r="B280" s="12" t="str">
        <f t="shared" si="18"/>
        <v>Jan2025</v>
      </c>
      <c r="C280" s="12" t="str">
        <f t="shared" si="19"/>
        <v>Saturday</v>
      </c>
      <c r="D280" s="13">
        <v>45682</v>
      </c>
      <c r="E280" s="14">
        <v>15</v>
      </c>
      <c r="F280" s="12">
        <v>10730214682</v>
      </c>
      <c r="G280" s="14" t="s">
        <v>5</v>
      </c>
      <c r="H280" s="14" t="s">
        <v>11</v>
      </c>
      <c r="I280" s="16" t="s">
        <v>92</v>
      </c>
      <c r="J280" s="14" t="str">
        <f t="shared" ca="1" si="16"/>
        <v>No</v>
      </c>
    </row>
    <row r="281" spans="1:10" x14ac:dyDescent="0.35">
      <c r="A281" s="12">
        <f t="shared" si="17"/>
        <v>4</v>
      </c>
      <c r="B281" s="12" t="str">
        <f t="shared" si="18"/>
        <v>Jan2025</v>
      </c>
      <c r="C281" s="12" t="str">
        <f t="shared" si="19"/>
        <v>Saturday</v>
      </c>
      <c r="D281" s="13">
        <v>45682</v>
      </c>
      <c r="E281" s="14">
        <v>16</v>
      </c>
      <c r="F281" s="12">
        <v>10737551312</v>
      </c>
      <c r="G281" s="14" t="s">
        <v>7</v>
      </c>
      <c r="H281" s="14" t="s">
        <v>21</v>
      </c>
      <c r="I281" s="16" t="s">
        <v>58</v>
      </c>
      <c r="J281" s="14" t="str">
        <f t="shared" ca="1" si="16"/>
        <v>No</v>
      </c>
    </row>
    <row r="282" spans="1:10" x14ac:dyDescent="0.35">
      <c r="A282" s="12">
        <f t="shared" si="17"/>
        <v>4</v>
      </c>
      <c r="B282" s="12" t="str">
        <f t="shared" si="18"/>
        <v>Jan2025</v>
      </c>
      <c r="C282" s="12" t="str">
        <f t="shared" si="19"/>
        <v>Saturday</v>
      </c>
      <c r="D282" s="13">
        <v>45682</v>
      </c>
      <c r="E282" s="14">
        <v>17</v>
      </c>
      <c r="F282" s="12">
        <v>10737540042</v>
      </c>
      <c r="G282" s="14" t="s">
        <v>4</v>
      </c>
      <c r="H282" s="14" t="s">
        <v>21</v>
      </c>
      <c r="I282" s="16" t="s">
        <v>33</v>
      </c>
      <c r="J282" s="14" t="str">
        <f t="shared" ca="1" si="16"/>
        <v>No</v>
      </c>
    </row>
    <row r="283" spans="1:10" x14ac:dyDescent="0.35">
      <c r="A283" s="12">
        <f t="shared" si="17"/>
        <v>4</v>
      </c>
      <c r="B283" s="12" t="str">
        <f t="shared" si="18"/>
        <v>Jan2025</v>
      </c>
      <c r="C283" s="12" t="str">
        <f t="shared" si="19"/>
        <v>Saturday</v>
      </c>
      <c r="D283" s="13">
        <v>45682</v>
      </c>
      <c r="E283" s="14">
        <v>18</v>
      </c>
      <c r="F283" s="12">
        <v>10738265022</v>
      </c>
      <c r="G283" s="14" t="s">
        <v>4</v>
      </c>
      <c r="H283" s="14" t="s">
        <v>11</v>
      </c>
      <c r="I283" s="16" t="s">
        <v>60</v>
      </c>
      <c r="J283" s="14" t="str">
        <f t="shared" ca="1" si="16"/>
        <v>No</v>
      </c>
    </row>
    <row r="284" spans="1:10" x14ac:dyDescent="0.35">
      <c r="A284" s="12">
        <f t="shared" si="17"/>
        <v>4</v>
      </c>
      <c r="B284" s="12" t="str">
        <f t="shared" si="18"/>
        <v>Jan2025</v>
      </c>
      <c r="C284" s="12" t="str">
        <f t="shared" si="19"/>
        <v>Saturday</v>
      </c>
      <c r="D284" s="13">
        <v>45682</v>
      </c>
      <c r="E284" s="14">
        <v>19</v>
      </c>
      <c r="F284" s="12">
        <v>10737723632</v>
      </c>
      <c r="G284" s="14" t="s">
        <v>4</v>
      </c>
      <c r="H284" s="14" t="s">
        <v>11</v>
      </c>
      <c r="I284" s="16" t="s">
        <v>60</v>
      </c>
      <c r="J284" s="14" t="str">
        <f t="shared" ca="1" si="16"/>
        <v>Yes</v>
      </c>
    </row>
    <row r="285" spans="1:10" x14ac:dyDescent="0.35">
      <c r="A285" s="12">
        <f t="shared" si="17"/>
        <v>4</v>
      </c>
      <c r="B285" s="12" t="str">
        <f t="shared" si="18"/>
        <v>Jan2025</v>
      </c>
      <c r="C285" s="12" t="str">
        <f t="shared" si="19"/>
        <v>Saturday</v>
      </c>
      <c r="D285" s="13">
        <v>45682</v>
      </c>
      <c r="E285" s="14">
        <v>20</v>
      </c>
      <c r="F285" s="12">
        <v>10735706092</v>
      </c>
      <c r="G285" s="14" t="s">
        <v>4</v>
      </c>
      <c r="H285" s="14" t="s">
        <v>11</v>
      </c>
      <c r="I285" s="16" t="s">
        <v>60</v>
      </c>
      <c r="J285" s="14" t="str">
        <f t="shared" ca="1" si="16"/>
        <v>No</v>
      </c>
    </row>
    <row r="286" spans="1:10" x14ac:dyDescent="0.35">
      <c r="A286" s="12">
        <f t="shared" si="17"/>
        <v>4</v>
      </c>
      <c r="B286" s="12" t="str">
        <f t="shared" si="18"/>
        <v>Jan2025</v>
      </c>
      <c r="C286" s="12" t="str">
        <f t="shared" si="19"/>
        <v>Saturday</v>
      </c>
      <c r="D286" s="13">
        <v>45682</v>
      </c>
      <c r="E286" s="14">
        <v>21</v>
      </c>
      <c r="F286" s="12">
        <v>10736474862</v>
      </c>
      <c r="G286" s="14" t="s">
        <v>7</v>
      </c>
      <c r="H286" s="14" t="s">
        <v>21</v>
      </c>
      <c r="I286" s="16" t="s">
        <v>128</v>
      </c>
      <c r="J286" s="14" t="str">
        <f t="shared" ca="1" si="16"/>
        <v>No</v>
      </c>
    </row>
    <row r="287" spans="1:10" x14ac:dyDescent="0.35">
      <c r="A287" s="12">
        <f t="shared" si="17"/>
        <v>4</v>
      </c>
      <c r="B287" s="12" t="str">
        <f t="shared" si="18"/>
        <v>Jan2025</v>
      </c>
      <c r="C287" s="12" t="str">
        <f t="shared" si="19"/>
        <v>Saturday</v>
      </c>
      <c r="D287" s="13">
        <v>45682</v>
      </c>
      <c r="E287" s="14">
        <v>22</v>
      </c>
      <c r="F287" s="12">
        <v>10738406072</v>
      </c>
      <c r="G287" s="14" t="s">
        <v>4</v>
      </c>
      <c r="H287" s="14" t="s">
        <v>11</v>
      </c>
      <c r="I287" s="16" t="s">
        <v>100</v>
      </c>
      <c r="J287" s="14" t="str">
        <f t="shared" ca="1" si="16"/>
        <v>No</v>
      </c>
    </row>
    <row r="288" spans="1:10" x14ac:dyDescent="0.35">
      <c r="A288" s="12">
        <f t="shared" si="17"/>
        <v>4</v>
      </c>
      <c r="B288" s="12" t="str">
        <f t="shared" si="18"/>
        <v>Jan2025</v>
      </c>
      <c r="C288" s="12" t="str">
        <f t="shared" si="19"/>
        <v>Saturday</v>
      </c>
      <c r="D288" s="13">
        <v>45682</v>
      </c>
      <c r="E288" s="14">
        <v>23</v>
      </c>
      <c r="F288" s="12">
        <v>10736146252</v>
      </c>
      <c r="G288" s="14" t="s">
        <v>4</v>
      </c>
      <c r="H288" s="14" t="s">
        <v>61</v>
      </c>
      <c r="I288" s="16" t="s">
        <v>158</v>
      </c>
      <c r="J288" s="14" t="str">
        <f t="shared" ca="1" si="16"/>
        <v>No</v>
      </c>
    </row>
    <row r="289" spans="1:10" x14ac:dyDescent="0.35">
      <c r="A289" s="12">
        <f t="shared" si="17"/>
        <v>4</v>
      </c>
      <c r="B289" s="12" t="str">
        <f t="shared" si="18"/>
        <v>Jan2025</v>
      </c>
      <c r="C289" s="12" t="str">
        <f t="shared" si="19"/>
        <v>Saturday</v>
      </c>
      <c r="D289" s="13">
        <v>45682</v>
      </c>
      <c r="E289" s="14">
        <v>24</v>
      </c>
      <c r="F289" s="12">
        <v>10726363072</v>
      </c>
      <c r="G289" s="14" t="s">
        <v>4</v>
      </c>
      <c r="H289" s="14" t="s">
        <v>11</v>
      </c>
      <c r="I289" s="16" t="s">
        <v>112</v>
      </c>
      <c r="J289" s="14" t="str">
        <f t="shared" ca="1" si="16"/>
        <v>No</v>
      </c>
    </row>
    <row r="290" spans="1:10" x14ac:dyDescent="0.35">
      <c r="A290" s="12">
        <f t="shared" si="17"/>
        <v>5</v>
      </c>
      <c r="B290" s="12" t="str">
        <f t="shared" si="18"/>
        <v>Jan2025</v>
      </c>
      <c r="C290" s="12" t="str">
        <f t="shared" si="19"/>
        <v>Tuesday</v>
      </c>
      <c r="D290" s="13">
        <v>45685</v>
      </c>
      <c r="E290" s="14">
        <v>1</v>
      </c>
      <c r="F290" s="12">
        <v>10728563392</v>
      </c>
      <c r="G290" s="14" t="s">
        <v>4</v>
      </c>
      <c r="H290" s="14" t="s">
        <v>11</v>
      </c>
      <c r="I290" s="16" t="s">
        <v>154</v>
      </c>
      <c r="J290" s="14" t="str">
        <f t="shared" ca="1" si="16"/>
        <v>No</v>
      </c>
    </row>
    <row r="291" spans="1:10" x14ac:dyDescent="0.35">
      <c r="A291" s="12">
        <f t="shared" si="17"/>
        <v>5</v>
      </c>
      <c r="B291" s="12" t="str">
        <f t="shared" si="18"/>
        <v>Jan2025</v>
      </c>
      <c r="C291" s="12" t="str">
        <f t="shared" si="19"/>
        <v>Tuesday</v>
      </c>
      <c r="D291" s="13">
        <v>45685</v>
      </c>
      <c r="E291" s="14">
        <v>2</v>
      </c>
      <c r="F291" s="12">
        <v>10726654172</v>
      </c>
      <c r="G291" s="14" t="s">
        <v>4</v>
      </c>
      <c r="H291" s="14" t="s">
        <v>11</v>
      </c>
      <c r="I291" s="16" t="s">
        <v>92</v>
      </c>
      <c r="J291" s="14" t="str">
        <f t="shared" ca="1" si="16"/>
        <v>Yes</v>
      </c>
    </row>
    <row r="292" spans="1:10" x14ac:dyDescent="0.35">
      <c r="A292" s="12">
        <f t="shared" si="17"/>
        <v>5</v>
      </c>
      <c r="B292" s="12" t="str">
        <f t="shared" si="18"/>
        <v>Jan2025</v>
      </c>
      <c r="C292" s="12" t="str">
        <f t="shared" si="19"/>
        <v>Tuesday</v>
      </c>
      <c r="D292" s="13">
        <v>45685</v>
      </c>
      <c r="E292" s="14">
        <v>3</v>
      </c>
      <c r="F292" s="12">
        <v>10745970082</v>
      </c>
      <c r="G292" s="14" t="s">
        <v>4</v>
      </c>
      <c r="H292" s="14" t="s">
        <v>11</v>
      </c>
      <c r="I292" s="16" t="s">
        <v>13</v>
      </c>
      <c r="J292" s="14" t="str">
        <f t="shared" ca="1" si="16"/>
        <v>No</v>
      </c>
    </row>
    <row r="293" spans="1:10" x14ac:dyDescent="0.35">
      <c r="A293" s="12">
        <f t="shared" si="17"/>
        <v>5</v>
      </c>
      <c r="B293" s="12" t="str">
        <f t="shared" si="18"/>
        <v>Jan2025</v>
      </c>
      <c r="C293" s="12" t="str">
        <f t="shared" si="19"/>
        <v>Tuesday</v>
      </c>
      <c r="D293" s="13">
        <v>45685</v>
      </c>
      <c r="E293" s="14">
        <v>4</v>
      </c>
      <c r="F293" s="12">
        <v>10736115522</v>
      </c>
      <c r="G293" s="14" t="s">
        <v>4</v>
      </c>
      <c r="H293" s="14" t="s">
        <v>11</v>
      </c>
      <c r="I293" s="16" t="s">
        <v>92</v>
      </c>
      <c r="J293" s="14" t="str">
        <f t="shared" ca="1" si="16"/>
        <v>No</v>
      </c>
    </row>
    <row r="294" spans="1:10" x14ac:dyDescent="0.35">
      <c r="A294" s="12">
        <f t="shared" si="17"/>
        <v>5</v>
      </c>
      <c r="B294" s="12" t="str">
        <f t="shared" si="18"/>
        <v>Jan2025</v>
      </c>
      <c r="C294" s="12" t="str">
        <f t="shared" si="19"/>
        <v>Tuesday</v>
      </c>
      <c r="D294" s="13">
        <v>45685</v>
      </c>
      <c r="E294" s="14">
        <v>5</v>
      </c>
      <c r="F294" s="12">
        <v>10622355602</v>
      </c>
      <c r="G294" s="14" t="s">
        <v>3</v>
      </c>
      <c r="H294" s="14" t="s">
        <v>11</v>
      </c>
      <c r="I294" s="16" t="s">
        <v>16</v>
      </c>
      <c r="J294" s="14" t="str">
        <f t="shared" ca="1" si="16"/>
        <v>No</v>
      </c>
    </row>
    <row r="295" spans="1:10" x14ac:dyDescent="0.35">
      <c r="A295" s="12">
        <f t="shared" si="17"/>
        <v>5</v>
      </c>
      <c r="B295" s="12" t="str">
        <f t="shared" si="18"/>
        <v>Jan2025</v>
      </c>
      <c r="C295" s="12" t="str">
        <f t="shared" si="19"/>
        <v>Tuesday</v>
      </c>
      <c r="D295" s="13">
        <v>45685</v>
      </c>
      <c r="E295" s="14">
        <v>6</v>
      </c>
      <c r="F295" s="12">
        <v>10734037002</v>
      </c>
      <c r="G295" s="14" t="s">
        <v>5</v>
      </c>
      <c r="H295" s="14" t="s">
        <v>21</v>
      </c>
      <c r="I295" s="16" t="s">
        <v>63</v>
      </c>
      <c r="J295" s="14" t="str">
        <f t="shared" ca="1" si="16"/>
        <v>No</v>
      </c>
    </row>
    <row r="296" spans="1:10" x14ac:dyDescent="0.35">
      <c r="A296" s="12">
        <f t="shared" si="17"/>
        <v>5</v>
      </c>
      <c r="B296" s="12" t="str">
        <f t="shared" si="18"/>
        <v>Jan2025</v>
      </c>
      <c r="C296" s="12" t="str">
        <f t="shared" si="19"/>
        <v>Tuesday</v>
      </c>
      <c r="D296" s="13">
        <v>45685</v>
      </c>
      <c r="E296" s="14">
        <v>7</v>
      </c>
      <c r="F296" s="12">
        <v>10747377162</v>
      </c>
      <c r="G296" s="14" t="s">
        <v>4</v>
      </c>
      <c r="H296" s="14" t="s">
        <v>61</v>
      </c>
      <c r="I296" s="16" t="s">
        <v>22</v>
      </c>
      <c r="J296" s="14" t="str">
        <f t="shared" ca="1" si="16"/>
        <v>No</v>
      </c>
    </row>
    <row r="297" spans="1:10" x14ac:dyDescent="0.35">
      <c r="A297" s="12">
        <f t="shared" si="17"/>
        <v>5</v>
      </c>
      <c r="B297" s="12" t="str">
        <f t="shared" si="18"/>
        <v>Jan2025</v>
      </c>
      <c r="C297" s="12" t="str">
        <f t="shared" si="19"/>
        <v>Tuesday</v>
      </c>
      <c r="D297" s="13">
        <v>45685</v>
      </c>
      <c r="E297" s="14">
        <v>8</v>
      </c>
      <c r="F297" s="12">
        <v>10746902852</v>
      </c>
      <c r="G297" s="14" t="s">
        <v>5</v>
      </c>
      <c r="H297" s="14" t="s">
        <v>21</v>
      </c>
      <c r="I297" s="16" t="s">
        <v>46</v>
      </c>
      <c r="J297" s="14" t="str">
        <f t="shared" ca="1" si="16"/>
        <v>No</v>
      </c>
    </row>
    <row r="298" spans="1:10" x14ac:dyDescent="0.35">
      <c r="A298" s="12">
        <f t="shared" si="17"/>
        <v>5</v>
      </c>
      <c r="B298" s="12" t="str">
        <f t="shared" si="18"/>
        <v>Jan2025</v>
      </c>
      <c r="C298" s="12" t="str">
        <f t="shared" si="19"/>
        <v>Tuesday</v>
      </c>
      <c r="D298" s="13">
        <v>45685</v>
      </c>
      <c r="E298" s="14">
        <v>9</v>
      </c>
      <c r="F298" s="12">
        <v>10747611872</v>
      </c>
      <c r="G298" s="14" t="s">
        <v>7</v>
      </c>
      <c r="H298" s="14" t="s">
        <v>11</v>
      </c>
      <c r="I298" s="16" t="s">
        <v>130</v>
      </c>
      <c r="J298" s="14" t="str">
        <f t="shared" ca="1" si="16"/>
        <v>No</v>
      </c>
    </row>
    <row r="299" spans="1:10" x14ac:dyDescent="0.35">
      <c r="A299" s="12">
        <f t="shared" si="17"/>
        <v>5</v>
      </c>
      <c r="B299" s="12" t="str">
        <f t="shared" si="18"/>
        <v>Jan2025</v>
      </c>
      <c r="C299" s="12" t="str">
        <f t="shared" si="19"/>
        <v>Tuesday</v>
      </c>
      <c r="D299" s="13">
        <v>45685</v>
      </c>
      <c r="E299" s="14">
        <v>10</v>
      </c>
      <c r="F299" s="12">
        <v>10748011282</v>
      </c>
      <c r="G299" s="14" t="s">
        <v>4</v>
      </c>
      <c r="H299" s="14" t="s">
        <v>11</v>
      </c>
      <c r="I299" s="16" t="s">
        <v>159</v>
      </c>
      <c r="J299" s="14" t="str">
        <f t="shared" ca="1" si="16"/>
        <v>Yes</v>
      </c>
    </row>
    <row r="300" spans="1:10" x14ac:dyDescent="0.35">
      <c r="A300" s="12">
        <f t="shared" si="17"/>
        <v>5</v>
      </c>
      <c r="B300" s="12" t="str">
        <f t="shared" si="18"/>
        <v>Jan2025</v>
      </c>
      <c r="C300" s="12" t="str">
        <f t="shared" si="19"/>
        <v>Tuesday</v>
      </c>
      <c r="D300" s="13">
        <v>45685</v>
      </c>
      <c r="E300" s="14">
        <v>11</v>
      </c>
      <c r="F300" s="12">
        <v>10712109642</v>
      </c>
      <c r="G300" s="14" t="s">
        <v>5</v>
      </c>
      <c r="H300" s="14" t="s">
        <v>21</v>
      </c>
      <c r="I300" s="16" t="s">
        <v>160</v>
      </c>
      <c r="J300" s="14" t="str">
        <f t="shared" ca="1" si="16"/>
        <v>No</v>
      </c>
    </row>
    <row r="301" spans="1:10" x14ac:dyDescent="0.35">
      <c r="A301" s="12">
        <f t="shared" si="17"/>
        <v>5</v>
      </c>
      <c r="B301" s="12" t="str">
        <f t="shared" si="18"/>
        <v>Jan2025</v>
      </c>
      <c r="C301" s="12" t="str">
        <f t="shared" si="19"/>
        <v>Tuesday</v>
      </c>
      <c r="D301" s="13">
        <v>45685</v>
      </c>
      <c r="E301" s="14">
        <v>12</v>
      </c>
      <c r="F301" s="12">
        <v>10747745402</v>
      </c>
      <c r="G301" s="14" t="s">
        <v>7</v>
      </c>
      <c r="H301" s="14" t="s">
        <v>61</v>
      </c>
      <c r="I301" s="16" t="s">
        <v>18</v>
      </c>
      <c r="J301" s="14" t="str">
        <f t="shared" ca="1" si="16"/>
        <v>No</v>
      </c>
    </row>
    <row r="302" spans="1:10" x14ac:dyDescent="0.35">
      <c r="A302" s="12">
        <f t="shared" si="17"/>
        <v>5</v>
      </c>
      <c r="B302" s="12" t="str">
        <f t="shared" si="18"/>
        <v>Jan2025</v>
      </c>
      <c r="C302" s="12" t="str">
        <f t="shared" si="19"/>
        <v>Tuesday</v>
      </c>
      <c r="D302" s="13">
        <v>45685</v>
      </c>
      <c r="E302" s="14">
        <v>13</v>
      </c>
      <c r="F302" s="12">
        <v>10748453212</v>
      </c>
      <c r="G302" s="14" t="s">
        <v>4</v>
      </c>
      <c r="H302" s="14" t="s">
        <v>61</v>
      </c>
      <c r="I302" s="16" t="s">
        <v>83</v>
      </c>
      <c r="J302" s="14" t="str">
        <f t="shared" ca="1" si="16"/>
        <v>No</v>
      </c>
    </row>
    <row r="303" spans="1:10" x14ac:dyDescent="0.35">
      <c r="A303" s="12">
        <f t="shared" si="17"/>
        <v>5</v>
      </c>
      <c r="B303" s="12" t="str">
        <f t="shared" si="18"/>
        <v>Jan2025</v>
      </c>
      <c r="C303" s="12" t="str">
        <f t="shared" si="19"/>
        <v>Tuesday</v>
      </c>
      <c r="D303" s="13">
        <v>45685</v>
      </c>
      <c r="E303" s="14">
        <v>14</v>
      </c>
      <c r="F303" s="12">
        <v>10736115522</v>
      </c>
      <c r="G303" s="14" t="s">
        <v>3</v>
      </c>
      <c r="H303" s="14" t="s">
        <v>11</v>
      </c>
      <c r="I303" s="16" t="s">
        <v>16</v>
      </c>
      <c r="J303" s="14" t="str">
        <f t="shared" ca="1" si="16"/>
        <v>No</v>
      </c>
    </row>
    <row r="304" spans="1:10" x14ac:dyDescent="0.35">
      <c r="A304" s="12">
        <f t="shared" si="17"/>
        <v>5</v>
      </c>
      <c r="B304" s="12" t="str">
        <f t="shared" si="18"/>
        <v>Jan2025</v>
      </c>
      <c r="C304" s="12" t="str">
        <f t="shared" si="19"/>
        <v>Tuesday</v>
      </c>
      <c r="D304" s="13">
        <v>45685</v>
      </c>
      <c r="E304" s="14">
        <v>15</v>
      </c>
      <c r="F304" s="12">
        <v>10748157562</v>
      </c>
      <c r="G304" s="14" t="s">
        <v>3</v>
      </c>
      <c r="H304" s="14" t="s">
        <v>11</v>
      </c>
      <c r="I304" s="16" t="s">
        <v>138</v>
      </c>
      <c r="J304" s="14" t="str">
        <f t="shared" ca="1" si="16"/>
        <v>No</v>
      </c>
    </row>
    <row r="305" spans="1:10" x14ac:dyDescent="0.35">
      <c r="A305" s="12">
        <f t="shared" si="17"/>
        <v>5</v>
      </c>
      <c r="B305" s="12" t="str">
        <f t="shared" si="18"/>
        <v>Jan2025</v>
      </c>
      <c r="C305" s="12" t="str">
        <f t="shared" si="19"/>
        <v>Tuesday</v>
      </c>
      <c r="D305" s="13">
        <v>45685</v>
      </c>
      <c r="E305" s="14">
        <v>16</v>
      </c>
      <c r="F305" s="12">
        <v>10747694552</v>
      </c>
      <c r="G305" s="14" t="s">
        <v>5</v>
      </c>
      <c r="H305" s="14" t="s">
        <v>21</v>
      </c>
      <c r="I305" s="16" t="s">
        <v>46</v>
      </c>
      <c r="J305" s="14" t="str">
        <f t="shared" ca="1" si="16"/>
        <v>Yes</v>
      </c>
    </row>
    <row r="306" spans="1:10" x14ac:dyDescent="0.35">
      <c r="A306" s="12">
        <f t="shared" si="17"/>
        <v>5</v>
      </c>
      <c r="B306" s="12" t="str">
        <f t="shared" si="18"/>
        <v>Jan2025</v>
      </c>
      <c r="C306" s="12" t="str">
        <f t="shared" si="19"/>
        <v>Tuesday</v>
      </c>
      <c r="D306" s="13">
        <v>45685</v>
      </c>
      <c r="E306" s="14">
        <v>17</v>
      </c>
      <c r="F306" s="12">
        <v>10746961512</v>
      </c>
      <c r="G306" s="14" t="s">
        <v>4</v>
      </c>
      <c r="H306" s="14" t="s">
        <v>11</v>
      </c>
      <c r="I306" s="16" t="s">
        <v>92</v>
      </c>
      <c r="J306" s="14" t="str">
        <f t="shared" ca="1" si="16"/>
        <v>No</v>
      </c>
    </row>
    <row r="307" spans="1:10" x14ac:dyDescent="0.35">
      <c r="A307" s="12">
        <f t="shared" si="17"/>
        <v>5</v>
      </c>
      <c r="B307" s="12" t="str">
        <f t="shared" si="18"/>
        <v>Jan2025</v>
      </c>
      <c r="C307" s="12" t="str">
        <f t="shared" si="19"/>
        <v>Tuesday</v>
      </c>
      <c r="D307" s="13">
        <v>45685</v>
      </c>
      <c r="E307" s="14">
        <v>18</v>
      </c>
      <c r="F307" s="12">
        <v>10748111432</v>
      </c>
      <c r="G307" s="14" t="s">
        <v>4</v>
      </c>
      <c r="H307" s="14" t="s">
        <v>11</v>
      </c>
      <c r="I307" s="16" t="s">
        <v>60</v>
      </c>
      <c r="J307" s="14" t="str">
        <f t="shared" ca="1" si="16"/>
        <v>No</v>
      </c>
    </row>
    <row r="308" spans="1:10" x14ac:dyDescent="0.35">
      <c r="A308" s="12">
        <f t="shared" si="17"/>
        <v>5</v>
      </c>
      <c r="B308" s="12" t="str">
        <f t="shared" si="18"/>
        <v>Jan2025</v>
      </c>
      <c r="C308" s="12" t="str">
        <f t="shared" si="19"/>
        <v>Wednesday</v>
      </c>
      <c r="D308" s="13">
        <v>45686</v>
      </c>
      <c r="E308" s="14">
        <v>1</v>
      </c>
      <c r="F308" s="12">
        <v>10737228302</v>
      </c>
      <c r="G308" s="14" t="s">
        <v>4</v>
      </c>
      <c r="H308" s="14" t="s">
        <v>21</v>
      </c>
      <c r="I308" s="16" t="s">
        <v>33</v>
      </c>
      <c r="J308" s="14" t="str">
        <f t="shared" ca="1" si="16"/>
        <v>No</v>
      </c>
    </row>
    <row r="309" spans="1:10" x14ac:dyDescent="0.35">
      <c r="A309" s="12">
        <f t="shared" si="17"/>
        <v>5</v>
      </c>
      <c r="B309" s="12" t="str">
        <f t="shared" si="18"/>
        <v>Jan2025</v>
      </c>
      <c r="C309" s="12" t="str">
        <f t="shared" si="19"/>
        <v>Wednesday</v>
      </c>
      <c r="D309" s="13">
        <v>45686</v>
      </c>
      <c r="E309" s="14">
        <v>2</v>
      </c>
      <c r="F309" s="12">
        <v>10752812142</v>
      </c>
      <c r="G309" s="14" t="s">
        <v>4</v>
      </c>
      <c r="H309" s="14" t="s">
        <v>11</v>
      </c>
      <c r="I309" s="16" t="s">
        <v>161</v>
      </c>
      <c r="J309" s="14" t="str">
        <f t="shared" ca="1" si="16"/>
        <v>No</v>
      </c>
    </row>
    <row r="310" spans="1:10" x14ac:dyDescent="0.35">
      <c r="A310" s="12">
        <f t="shared" si="17"/>
        <v>5</v>
      </c>
      <c r="B310" s="12" t="str">
        <f t="shared" si="18"/>
        <v>Jan2025</v>
      </c>
      <c r="C310" s="12" t="str">
        <f t="shared" si="19"/>
        <v>Wednesday</v>
      </c>
      <c r="D310" s="13">
        <v>45686</v>
      </c>
      <c r="E310" s="14">
        <v>3</v>
      </c>
      <c r="F310" s="12">
        <v>10747753622</v>
      </c>
      <c r="G310" s="14" t="s">
        <v>5</v>
      </c>
      <c r="H310" s="14" t="s">
        <v>61</v>
      </c>
      <c r="I310" s="16" t="s">
        <v>52</v>
      </c>
      <c r="J310" s="14" t="str">
        <f t="shared" ca="1" si="16"/>
        <v>No</v>
      </c>
    </row>
    <row r="311" spans="1:10" x14ac:dyDescent="0.35">
      <c r="A311" s="12">
        <f t="shared" si="17"/>
        <v>5</v>
      </c>
      <c r="B311" s="12" t="str">
        <f t="shared" si="18"/>
        <v>Jan2025</v>
      </c>
      <c r="C311" s="12" t="str">
        <f t="shared" si="19"/>
        <v>Wednesday</v>
      </c>
      <c r="D311" s="13">
        <v>45686</v>
      </c>
      <c r="E311" s="14">
        <v>4</v>
      </c>
      <c r="F311" s="12">
        <v>10711539092</v>
      </c>
      <c r="G311" s="14" t="s">
        <v>4</v>
      </c>
      <c r="H311" s="14" t="s">
        <v>11</v>
      </c>
      <c r="I311" s="16" t="s">
        <v>64</v>
      </c>
      <c r="J311" s="14" t="str">
        <f t="shared" ca="1" si="16"/>
        <v>No</v>
      </c>
    </row>
    <row r="312" spans="1:10" x14ac:dyDescent="0.35">
      <c r="A312" s="12">
        <f t="shared" si="17"/>
        <v>5</v>
      </c>
      <c r="B312" s="12" t="str">
        <f t="shared" si="18"/>
        <v>Jan2025</v>
      </c>
      <c r="C312" s="12" t="str">
        <f t="shared" si="19"/>
        <v>Wednesday</v>
      </c>
      <c r="D312" s="13">
        <v>45686</v>
      </c>
      <c r="E312" s="14">
        <v>5</v>
      </c>
      <c r="F312" s="12">
        <v>10741952512</v>
      </c>
      <c r="G312" s="14" t="s">
        <v>4</v>
      </c>
      <c r="H312" s="14" t="s">
        <v>21</v>
      </c>
      <c r="I312" s="16" t="s">
        <v>24</v>
      </c>
      <c r="J312" s="14" t="str">
        <f t="shared" ca="1" si="16"/>
        <v>Yes</v>
      </c>
    </row>
    <row r="313" spans="1:10" x14ac:dyDescent="0.35">
      <c r="A313" s="12">
        <f t="shared" si="17"/>
        <v>5</v>
      </c>
      <c r="B313" s="12" t="str">
        <f t="shared" si="18"/>
        <v>Jan2025</v>
      </c>
      <c r="C313" s="12" t="str">
        <f t="shared" si="19"/>
        <v>Wednesday</v>
      </c>
      <c r="D313" s="13">
        <v>45686</v>
      </c>
      <c r="E313" s="14">
        <v>6</v>
      </c>
      <c r="F313" s="12">
        <v>10752640352</v>
      </c>
      <c r="G313" s="14" t="s">
        <v>4</v>
      </c>
      <c r="H313" s="14" t="s">
        <v>61</v>
      </c>
      <c r="I313" s="16" t="s">
        <v>162</v>
      </c>
      <c r="J313" s="14" t="str">
        <f t="shared" ca="1" si="16"/>
        <v>No</v>
      </c>
    </row>
    <row r="314" spans="1:10" x14ac:dyDescent="0.35">
      <c r="A314" s="12">
        <f t="shared" si="17"/>
        <v>5</v>
      </c>
      <c r="B314" s="12" t="str">
        <f t="shared" si="18"/>
        <v>Jan2025</v>
      </c>
      <c r="C314" s="12" t="str">
        <f t="shared" si="19"/>
        <v>Wednesday</v>
      </c>
      <c r="D314" s="13">
        <v>45686</v>
      </c>
      <c r="E314" s="14">
        <v>7</v>
      </c>
      <c r="F314" s="12">
        <v>10729892742</v>
      </c>
      <c r="G314" s="14" t="s">
        <v>3</v>
      </c>
      <c r="H314" s="14" t="s">
        <v>11</v>
      </c>
      <c r="I314" s="16" t="s">
        <v>16</v>
      </c>
      <c r="J314" s="14" t="str">
        <f t="shared" ca="1" si="16"/>
        <v>Yes</v>
      </c>
    </row>
    <row r="315" spans="1:10" x14ac:dyDescent="0.35">
      <c r="A315" s="12">
        <f t="shared" si="17"/>
        <v>5</v>
      </c>
      <c r="B315" s="12" t="str">
        <f t="shared" si="18"/>
        <v>Jan2025</v>
      </c>
      <c r="C315" s="12" t="str">
        <f t="shared" si="19"/>
        <v>Wednesday</v>
      </c>
      <c r="D315" s="13">
        <v>45686</v>
      </c>
      <c r="E315" s="14">
        <v>8</v>
      </c>
      <c r="F315" s="12">
        <v>10748157562</v>
      </c>
      <c r="G315" s="14" t="s">
        <v>3</v>
      </c>
      <c r="H315" s="14" t="s">
        <v>11</v>
      </c>
      <c r="I315" s="16" t="s">
        <v>16</v>
      </c>
      <c r="J315" s="14" t="str">
        <f t="shared" ca="1" si="16"/>
        <v>No</v>
      </c>
    </row>
    <row r="316" spans="1:10" x14ac:dyDescent="0.35">
      <c r="A316" s="12">
        <f t="shared" si="17"/>
        <v>5</v>
      </c>
      <c r="B316" s="12" t="str">
        <f t="shared" si="18"/>
        <v>Jan2025</v>
      </c>
      <c r="C316" s="12" t="str">
        <f t="shared" si="19"/>
        <v>Wednesday</v>
      </c>
      <c r="D316" s="13">
        <v>45686</v>
      </c>
      <c r="E316" s="14">
        <v>9</v>
      </c>
      <c r="F316" s="12">
        <v>10732616332</v>
      </c>
      <c r="G316" s="14" t="s">
        <v>7</v>
      </c>
      <c r="H316" s="14" t="s">
        <v>21</v>
      </c>
      <c r="I316" s="16" t="s">
        <v>11</v>
      </c>
      <c r="J316" s="14" t="str">
        <f t="shared" ca="1" si="16"/>
        <v>Yes</v>
      </c>
    </row>
    <row r="317" spans="1:10" x14ac:dyDescent="0.35">
      <c r="A317" s="12">
        <f t="shared" si="17"/>
        <v>5</v>
      </c>
      <c r="B317" s="12" t="str">
        <f t="shared" si="18"/>
        <v>Jan2025</v>
      </c>
      <c r="C317" s="12" t="str">
        <f t="shared" si="19"/>
        <v>Wednesday</v>
      </c>
      <c r="D317" s="13">
        <v>45686</v>
      </c>
      <c r="E317" s="14">
        <v>10</v>
      </c>
      <c r="F317" s="12">
        <v>10712109642</v>
      </c>
      <c r="G317" s="14" t="s">
        <v>5</v>
      </c>
      <c r="H317" s="14" t="s">
        <v>21</v>
      </c>
      <c r="I317" s="16" t="s">
        <v>46</v>
      </c>
      <c r="J317" s="14" t="str">
        <f t="shared" ca="1" si="16"/>
        <v>No</v>
      </c>
    </row>
    <row r="318" spans="1:10" x14ac:dyDescent="0.35">
      <c r="A318" s="12">
        <f t="shared" si="17"/>
        <v>5</v>
      </c>
      <c r="B318" s="12" t="str">
        <f t="shared" si="18"/>
        <v>Jan2025</v>
      </c>
      <c r="C318" s="12" t="str">
        <f t="shared" si="19"/>
        <v>Wednesday</v>
      </c>
      <c r="D318" s="13">
        <v>45686</v>
      </c>
      <c r="E318" s="14">
        <v>11</v>
      </c>
      <c r="F318" s="12">
        <v>10752783872</v>
      </c>
      <c r="G318" s="14" t="s">
        <v>4</v>
      </c>
      <c r="H318" s="14" t="s">
        <v>61</v>
      </c>
      <c r="I318" s="16" t="s">
        <v>71</v>
      </c>
      <c r="J318" s="14" t="str">
        <f t="shared" ca="1" si="16"/>
        <v>No</v>
      </c>
    </row>
    <row r="319" spans="1:10" x14ac:dyDescent="0.35">
      <c r="A319" s="12">
        <f t="shared" si="17"/>
        <v>5</v>
      </c>
      <c r="B319" s="12" t="str">
        <f t="shared" si="18"/>
        <v>Jan2025</v>
      </c>
      <c r="C319" s="12" t="str">
        <f t="shared" si="19"/>
        <v>Wednesday</v>
      </c>
      <c r="D319" s="13">
        <v>45686</v>
      </c>
      <c r="E319" s="14">
        <v>12</v>
      </c>
      <c r="F319" s="12">
        <v>10746740932</v>
      </c>
      <c r="G319" s="14" t="s">
        <v>7</v>
      </c>
      <c r="H319" s="14" t="s">
        <v>61</v>
      </c>
      <c r="I319" s="16" t="s">
        <v>82</v>
      </c>
      <c r="J319" s="14" t="str">
        <f t="shared" ca="1" si="16"/>
        <v>No</v>
      </c>
    </row>
    <row r="320" spans="1:10" x14ac:dyDescent="0.35">
      <c r="A320" s="12">
        <f t="shared" si="17"/>
        <v>5</v>
      </c>
      <c r="B320" s="12" t="str">
        <f t="shared" si="18"/>
        <v>Jan2025</v>
      </c>
      <c r="C320" s="12" t="str">
        <f t="shared" si="19"/>
        <v>Wednesday</v>
      </c>
      <c r="D320" s="13">
        <v>45686</v>
      </c>
      <c r="E320" s="14">
        <v>13</v>
      </c>
      <c r="F320" s="12">
        <v>10753718652</v>
      </c>
      <c r="G320" s="14" t="s">
        <v>3</v>
      </c>
      <c r="H320" s="14" t="s">
        <v>61</v>
      </c>
      <c r="I320" s="16" t="s">
        <v>71</v>
      </c>
      <c r="J320" s="14" t="str">
        <f t="shared" ca="1" si="16"/>
        <v>No</v>
      </c>
    </row>
    <row r="321" spans="1:10" x14ac:dyDescent="0.35">
      <c r="A321" s="12">
        <f t="shared" si="17"/>
        <v>5</v>
      </c>
      <c r="B321" s="12" t="str">
        <f t="shared" si="18"/>
        <v>Jan2025</v>
      </c>
      <c r="C321" s="12" t="str">
        <f t="shared" si="19"/>
        <v>Wednesday</v>
      </c>
      <c r="D321" s="13">
        <v>45686</v>
      </c>
      <c r="E321" s="14">
        <v>14</v>
      </c>
      <c r="F321" s="12">
        <v>10748756362</v>
      </c>
      <c r="G321" s="14" t="s">
        <v>7</v>
      </c>
      <c r="H321" s="14" t="s">
        <v>11</v>
      </c>
      <c r="I321" s="16" t="s">
        <v>120</v>
      </c>
      <c r="J321" s="14" t="str">
        <f t="shared" ca="1" si="16"/>
        <v>No</v>
      </c>
    </row>
    <row r="322" spans="1:10" x14ac:dyDescent="0.35">
      <c r="A322" s="12">
        <f t="shared" si="17"/>
        <v>5</v>
      </c>
      <c r="B322" s="12" t="str">
        <f t="shared" si="18"/>
        <v>Jan2025</v>
      </c>
      <c r="C322" s="12" t="str">
        <f t="shared" si="19"/>
        <v>Wednesday</v>
      </c>
      <c r="D322" s="13">
        <v>45686</v>
      </c>
      <c r="E322" s="14">
        <v>15</v>
      </c>
      <c r="F322" s="12">
        <v>10745284682</v>
      </c>
      <c r="G322" s="14" t="s">
        <v>5</v>
      </c>
      <c r="H322" s="14" t="s">
        <v>21</v>
      </c>
      <c r="I322" s="16" t="s">
        <v>51</v>
      </c>
      <c r="J322" s="14" t="str">
        <f t="shared" ref="J322:J385" ca="1" si="20">IF(RAND()&lt;0.2,"Yes","No")</f>
        <v>No</v>
      </c>
    </row>
    <row r="323" spans="1:10" x14ac:dyDescent="0.35">
      <c r="A323" s="12">
        <f t="shared" ref="A323:A386" si="21">WEEKNUM(D323)</f>
        <v>5</v>
      </c>
      <c r="B323" s="12" t="str">
        <f t="shared" ref="B323:B386" si="22">TEXT(D323,"MMMYYYY")</f>
        <v>Jan2025</v>
      </c>
      <c r="C323" s="12" t="str">
        <f t="shared" ref="C323:C386" si="23">TEXT(D323,"dddd")</f>
        <v>Wednesday</v>
      </c>
      <c r="D323" s="13">
        <v>45686</v>
      </c>
      <c r="E323" s="14">
        <v>16</v>
      </c>
      <c r="F323" s="12">
        <v>10753908802</v>
      </c>
      <c r="G323" s="14" t="s">
        <v>4</v>
      </c>
      <c r="H323" s="14" t="s">
        <v>11</v>
      </c>
      <c r="I323" s="16" t="s">
        <v>163</v>
      </c>
      <c r="J323" s="14" t="str">
        <f t="shared" ca="1" si="20"/>
        <v>No</v>
      </c>
    </row>
    <row r="324" spans="1:10" x14ac:dyDescent="0.35">
      <c r="A324" s="12">
        <f t="shared" si="21"/>
        <v>5</v>
      </c>
      <c r="B324" s="12" t="str">
        <f t="shared" si="22"/>
        <v>Jan2025</v>
      </c>
      <c r="C324" s="12" t="str">
        <f t="shared" si="23"/>
        <v>Wednesday</v>
      </c>
      <c r="D324" s="13">
        <v>45686</v>
      </c>
      <c r="E324" s="14">
        <v>17</v>
      </c>
      <c r="F324" s="12">
        <v>10738208482</v>
      </c>
      <c r="G324" s="14" t="s">
        <v>7</v>
      </c>
      <c r="H324" s="14" t="s">
        <v>21</v>
      </c>
      <c r="I324" s="16" t="s">
        <v>82</v>
      </c>
      <c r="J324" s="14" t="str">
        <f t="shared" ca="1" si="20"/>
        <v>No</v>
      </c>
    </row>
    <row r="325" spans="1:10" x14ac:dyDescent="0.35">
      <c r="A325" s="12">
        <f t="shared" si="21"/>
        <v>5</v>
      </c>
      <c r="B325" s="12" t="str">
        <f t="shared" si="22"/>
        <v>Jan2025</v>
      </c>
      <c r="C325" s="12" t="str">
        <f t="shared" si="23"/>
        <v>Thursday</v>
      </c>
      <c r="D325" s="13">
        <v>45687</v>
      </c>
      <c r="E325" s="14">
        <v>1</v>
      </c>
      <c r="F325" s="12">
        <v>10454480612</v>
      </c>
      <c r="G325" s="14" t="s">
        <v>3</v>
      </c>
      <c r="H325" s="14" t="s">
        <v>61</v>
      </c>
      <c r="I325" s="16" t="s">
        <v>16</v>
      </c>
      <c r="J325" s="14" t="str">
        <f t="shared" ca="1" si="20"/>
        <v>No</v>
      </c>
    </row>
    <row r="326" spans="1:10" x14ac:dyDescent="0.35">
      <c r="A326" s="12">
        <f t="shared" si="21"/>
        <v>5</v>
      </c>
      <c r="B326" s="12" t="str">
        <f t="shared" si="22"/>
        <v>Jan2025</v>
      </c>
      <c r="C326" s="12" t="str">
        <f t="shared" si="23"/>
        <v>Thursday</v>
      </c>
      <c r="D326" s="13">
        <v>45687</v>
      </c>
      <c r="E326" s="14">
        <v>2</v>
      </c>
      <c r="F326" s="12">
        <v>10754449692</v>
      </c>
      <c r="G326" s="14" t="s">
        <v>4</v>
      </c>
      <c r="H326" s="14" t="s">
        <v>61</v>
      </c>
      <c r="I326" s="16" t="s">
        <v>45</v>
      </c>
      <c r="J326" s="14" t="str">
        <f t="shared" ca="1" si="20"/>
        <v>No</v>
      </c>
    </row>
    <row r="327" spans="1:10" x14ac:dyDescent="0.35">
      <c r="A327" s="12">
        <f t="shared" si="21"/>
        <v>5</v>
      </c>
      <c r="B327" s="12" t="str">
        <f t="shared" si="22"/>
        <v>Jan2025</v>
      </c>
      <c r="C327" s="12" t="str">
        <f t="shared" si="23"/>
        <v>Thursday</v>
      </c>
      <c r="D327" s="13">
        <v>45687</v>
      </c>
      <c r="E327" s="14">
        <v>3</v>
      </c>
      <c r="F327" s="12">
        <v>10754931882</v>
      </c>
      <c r="G327" s="14" t="s">
        <v>4</v>
      </c>
      <c r="H327" s="14" t="s">
        <v>61</v>
      </c>
      <c r="I327" s="16" t="s">
        <v>164</v>
      </c>
      <c r="J327" s="14" t="str">
        <f t="shared" ca="1" si="20"/>
        <v>No</v>
      </c>
    </row>
    <row r="328" spans="1:10" x14ac:dyDescent="0.35">
      <c r="A328" s="12">
        <f t="shared" si="21"/>
        <v>5</v>
      </c>
      <c r="B328" s="12" t="str">
        <f t="shared" si="22"/>
        <v>Jan2025</v>
      </c>
      <c r="C328" s="12" t="str">
        <f t="shared" si="23"/>
        <v>Thursday</v>
      </c>
      <c r="D328" s="13">
        <v>45687</v>
      </c>
      <c r="E328" s="14">
        <v>4</v>
      </c>
      <c r="F328" s="12">
        <v>10755408302</v>
      </c>
      <c r="G328" s="14" t="s">
        <v>4</v>
      </c>
      <c r="H328" s="14" t="s">
        <v>11</v>
      </c>
      <c r="I328" s="16" t="s">
        <v>17</v>
      </c>
      <c r="J328" s="14" t="str">
        <f t="shared" ca="1" si="20"/>
        <v>No</v>
      </c>
    </row>
    <row r="329" spans="1:10" x14ac:dyDescent="0.35">
      <c r="A329" s="12">
        <f t="shared" si="21"/>
        <v>5</v>
      </c>
      <c r="B329" s="12" t="str">
        <f t="shared" si="22"/>
        <v>Jan2025</v>
      </c>
      <c r="C329" s="12" t="str">
        <f t="shared" si="23"/>
        <v>Thursday</v>
      </c>
      <c r="D329" s="13">
        <v>45687</v>
      </c>
      <c r="E329" s="14">
        <v>5</v>
      </c>
      <c r="F329" s="12">
        <v>10755078142</v>
      </c>
      <c r="G329" s="14" t="s">
        <v>3</v>
      </c>
      <c r="H329" s="14" t="s">
        <v>11</v>
      </c>
      <c r="I329" s="16" t="s">
        <v>85</v>
      </c>
      <c r="J329" s="14" t="str">
        <f t="shared" ca="1" si="20"/>
        <v>No</v>
      </c>
    </row>
    <row r="330" spans="1:10" x14ac:dyDescent="0.35">
      <c r="A330" s="12">
        <f t="shared" si="21"/>
        <v>5</v>
      </c>
      <c r="B330" s="12" t="str">
        <f t="shared" si="22"/>
        <v>Jan2025</v>
      </c>
      <c r="C330" s="12" t="str">
        <f t="shared" si="23"/>
        <v>Thursday</v>
      </c>
      <c r="D330" s="13">
        <v>45687</v>
      </c>
      <c r="E330" s="14">
        <v>6</v>
      </c>
      <c r="F330" s="12">
        <v>10755642762</v>
      </c>
      <c r="G330" s="14" t="s">
        <v>7</v>
      </c>
      <c r="H330" s="14" t="s">
        <v>61</v>
      </c>
      <c r="I330" s="16" t="s">
        <v>40</v>
      </c>
      <c r="J330" s="14" t="str">
        <f t="shared" ca="1" si="20"/>
        <v>Yes</v>
      </c>
    </row>
    <row r="331" spans="1:10" x14ac:dyDescent="0.35">
      <c r="A331" s="12">
        <f t="shared" si="21"/>
        <v>5</v>
      </c>
      <c r="B331" s="12" t="str">
        <f t="shared" si="22"/>
        <v>Jan2025</v>
      </c>
      <c r="C331" s="12" t="str">
        <f t="shared" si="23"/>
        <v>Thursday</v>
      </c>
      <c r="D331" s="13">
        <v>45687</v>
      </c>
      <c r="E331" s="14">
        <v>7</v>
      </c>
      <c r="F331" s="12">
        <v>10753725242</v>
      </c>
      <c r="G331" s="14" t="s">
        <v>5</v>
      </c>
      <c r="H331" s="14" t="s">
        <v>11</v>
      </c>
      <c r="I331" s="16" t="s">
        <v>32</v>
      </c>
      <c r="J331" s="14" t="str">
        <f t="shared" ca="1" si="20"/>
        <v>No</v>
      </c>
    </row>
    <row r="332" spans="1:10" x14ac:dyDescent="0.35">
      <c r="A332" s="12">
        <f t="shared" si="21"/>
        <v>5</v>
      </c>
      <c r="B332" s="12" t="str">
        <f t="shared" si="22"/>
        <v>Jan2025</v>
      </c>
      <c r="C332" s="12" t="str">
        <f t="shared" si="23"/>
        <v>Thursday</v>
      </c>
      <c r="D332" s="13">
        <v>45687</v>
      </c>
      <c r="E332" s="14">
        <v>8</v>
      </c>
      <c r="F332" s="12">
        <v>10735058492</v>
      </c>
      <c r="G332" s="14" t="s">
        <v>5</v>
      </c>
      <c r="H332" s="14" t="s">
        <v>21</v>
      </c>
      <c r="I332" s="16" t="s">
        <v>35</v>
      </c>
      <c r="J332" s="14" t="str">
        <f t="shared" ca="1" si="20"/>
        <v>Yes</v>
      </c>
    </row>
    <row r="333" spans="1:10" x14ac:dyDescent="0.35">
      <c r="A333" s="12">
        <f t="shared" si="21"/>
        <v>5</v>
      </c>
      <c r="B333" s="12" t="str">
        <f t="shared" si="22"/>
        <v>Jan2025</v>
      </c>
      <c r="C333" s="12" t="str">
        <f t="shared" si="23"/>
        <v>Thursday</v>
      </c>
      <c r="D333" s="13">
        <v>45687</v>
      </c>
      <c r="E333" s="14">
        <v>9</v>
      </c>
      <c r="F333" s="12">
        <v>10755725332</v>
      </c>
      <c r="G333" s="14" t="s">
        <v>4</v>
      </c>
      <c r="H333" s="14" t="s">
        <v>61</v>
      </c>
      <c r="I333" s="16" t="s">
        <v>88</v>
      </c>
      <c r="J333" s="14" t="str">
        <f t="shared" ca="1" si="20"/>
        <v>Yes</v>
      </c>
    </row>
    <row r="334" spans="1:10" x14ac:dyDescent="0.35">
      <c r="A334" s="12">
        <f t="shared" si="21"/>
        <v>5</v>
      </c>
      <c r="B334" s="12" t="str">
        <f t="shared" si="22"/>
        <v>Jan2025</v>
      </c>
      <c r="C334" s="12" t="str">
        <f t="shared" si="23"/>
        <v>Thursday</v>
      </c>
      <c r="D334" s="13">
        <v>45687</v>
      </c>
      <c r="E334" s="14">
        <v>10</v>
      </c>
      <c r="F334" s="12">
        <v>10755568982</v>
      </c>
      <c r="G334" s="14" t="s">
        <v>3</v>
      </c>
      <c r="H334" s="14" t="s">
        <v>11</v>
      </c>
      <c r="I334" s="16" t="s">
        <v>92</v>
      </c>
      <c r="J334" s="14" t="str">
        <f t="shared" ca="1" si="20"/>
        <v>No</v>
      </c>
    </row>
    <row r="335" spans="1:10" x14ac:dyDescent="0.35">
      <c r="A335" s="12">
        <f t="shared" si="21"/>
        <v>5</v>
      </c>
      <c r="B335" s="12" t="str">
        <f t="shared" si="22"/>
        <v>Jan2025</v>
      </c>
      <c r="C335" s="12" t="str">
        <f t="shared" si="23"/>
        <v>Thursday</v>
      </c>
      <c r="D335" s="13">
        <v>45687</v>
      </c>
      <c r="E335" s="14">
        <v>11</v>
      </c>
      <c r="F335" s="12">
        <v>10755855382</v>
      </c>
      <c r="G335" s="14" t="s">
        <v>4</v>
      </c>
      <c r="H335" s="14" t="s">
        <v>21</v>
      </c>
      <c r="I335" s="16" t="s">
        <v>33</v>
      </c>
      <c r="J335" s="14" t="str">
        <f t="shared" ca="1" si="20"/>
        <v>Yes</v>
      </c>
    </row>
    <row r="336" spans="1:10" x14ac:dyDescent="0.35">
      <c r="A336" s="12">
        <f t="shared" si="21"/>
        <v>5</v>
      </c>
      <c r="B336" s="12" t="str">
        <f t="shared" si="22"/>
        <v>Jan2025</v>
      </c>
      <c r="C336" s="12" t="str">
        <f t="shared" si="23"/>
        <v>Thursday</v>
      </c>
      <c r="D336" s="13">
        <v>45687</v>
      </c>
      <c r="E336" s="14">
        <v>12</v>
      </c>
      <c r="F336" s="12">
        <v>10755568982</v>
      </c>
      <c r="G336" s="14" t="s">
        <v>4</v>
      </c>
      <c r="H336" s="14" t="s">
        <v>11</v>
      </c>
      <c r="I336" s="16" t="s">
        <v>29</v>
      </c>
      <c r="J336" s="14" t="str">
        <f t="shared" ca="1" si="20"/>
        <v>No</v>
      </c>
    </row>
    <row r="337" spans="1:10" x14ac:dyDescent="0.35">
      <c r="A337" s="12">
        <f t="shared" si="21"/>
        <v>5</v>
      </c>
      <c r="B337" s="12" t="str">
        <f t="shared" si="22"/>
        <v>Jan2025</v>
      </c>
      <c r="C337" s="12" t="str">
        <f t="shared" si="23"/>
        <v>Friday</v>
      </c>
      <c r="D337" s="13">
        <v>45688</v>
      </c>
      <c r="E337" s="14">
        <v>1</v>
      </c>
      <c r="F337" s="12">
        <v>10757697242</v>
      </c>
      <c r="G337" s="14" t="s">
        <v>4</v>
      </c>
      <c r="H337" s="14" t="s">
        <v>61</v>
      </c>
      <c r="I337" s="16" t="s">
        <v>69</v>
      </c>
      <c r="J337" s="14" t="str">
        <f t="shared" ca="1" si="20"/>
        <v>No</v>
      </c>
    </row>
    <row r="338" spans="1:10" x14ac:dyDescent="0.35">
      <c r="A338" s="12">
        <f t="shared" si="21"/>
        <v>5</v>
      </c>
      <c r="B338" s="12" t="str">
        <f t="shared" si="22"/>
        <v>Jan2025</v>
      </c>
      <c r="C338" s="12" t="str">
        <f t="shared" si="23"/>
        <v>Friday</v>
      </c>
      <c r="D338" s="13">
        <v>45688</v>
      </c>
      <c r="E338" s="14">
        <v>2</v>
      </c>
      <c r="F338" s="12">
        <v>10753644942</v>
      </c>
      <c r="G338" s="14" t="s">
        <v>4</v>
      </c>
      <c r="H338" s="14" t="s">
        <v>11</v>
      </c>
      <c r="I338" s="16" t="s">
        <v>42</v>
      </c>
      <c r="J338" s="14" t="str">
        <f t="shared" ca="1" si="20"/>
        <v>No</v>
      </c>
    </row>
    <row r="339" spans="1:10" x14ac:dyDescent="0.35">
      <c r="A339" s="12">
        <f t="shared" si="21"/>
        <v>5</v>
      </c>
      <c r="B339" s="12" t="str">
        <f t="shared" si="22"/>
        <v>Jan2025</v>
      </c>
      <c r="C339" s="12" t="str">
        <f t="shared" si="23"/>
        <v>Friday</v>
      </c>
      <c r="D339" s="13">
        <v>45688</v>
      </c>
      <c r="E339" s="14">
        <v>3</v>
      </c>
      <c r="F339" s="12">
        <v>10705768972</v>
      </c>
      <c r="G339" s="14" t="s">
        <v>3</v>
      </c>
      <c r="H339" s="14" t="s">
        <v>61</v>
      </c>
      <c r="I339" s="16" t="s">
        <v>16</v>
      </c>
      <c r="J339" s="14" t="str">
        <f t="shared" ca="1" si="20"/>
        <v>No</v>
      </c>
    </row>
    <row r="340" spans="1:10" x14ac:dyDescent="0.35">
      <c r="A340" s="12">
        <f t="shared" si="21"/>
        <v>5</v>
      </c>
      <c r="B340" s="12" t="str">
        <f t="shared" si="22"/>
        <v>Jan2025</v>
      </c>
      <c r="C340" s="12" t="str">
        <f t="shared" si="23"/>
        <v>Friday</v>
      </c>
      <c r="D340" s="13">
        <v>45688</v>
      </c>
      <c r="E340" s="14">
        <v>4</v>
      </c>
      <c r="F340" s="12">
        <v>10757452512</v>
      </c>
      <c r="G340" s="14" t="s">
        <v>7</v>
      </c>
      <c r="H340" s="14" t="s">
        <v>61</v>
      </c>
      <c r="I340" s="16" t="s">
        <v>165</v>
      </c>
      <c r="J340" s="14" t="str">
        <f t="shared" ca="1" si="20"/>
        <v>No</v>
      </c>
    </row>
    <row r="341" spans="1:10" x14ac:dyDescent="0.35">
      <c r="A341" s="12">
        <f t="shared" si="21"/>
        <v>5</v>
      </c>
      <c r="B341" s="12" t="str">
        <f t="shared" si="22"/>
        <v>Jan2025</v>
      </c>
      <c r="C341" s="12" t="str">
        <f t="shared" si="23"/>
        <v>Friday</v>
      </c>
      <c r="D341" s="13">
        <v>45688</v>
      </c>
      <c r="E341" s="14">
        <v>5</v>
      </c>
      <c r="F341" s="12">
        <v>10749486222</v>
      </c>
      <c r="G341" s="14" t="s">
        <v>4</v>
      </c>
      <c r="H341" s="14" t="s">
        <v>21</v>
      </c>
      <c r="I341" s="16" t="s">
        <v>24</v>
      </c>
      <c r="J341" s="14" t="str">
        <f t="shared" ca="1" si="20"/>
        <v>No</v>
      </c>
    </row>
    <row r="342" spans="1:10" x14ac:dyDescent="0.35">
      <c r="A342" s="12">
        <f t="shared" si="21"/>
        <v>5</v>
      </c>
      <c r="B342" s="12" t="str">
        <f t="shared" si="22"/>
        <v>Jan2025</v>
      </c>
      <c r="C342" s="12" t="str">
        <f t="shared" si="23"/>
        <v>Friday</v>
      </c>
      <c r="D342" s="13">
        <v>45688</v>
      </c>
      <c r="E342" s="14">
        <v>6</v>
      </c>
      <c r="F342" s="12">
        <v>10758059972</v>
      </c>
      <c r="G342" s="14" t="s">
        <v>4</v>
      </c>
      <c r="H342" s="14" t="s">
        <v>61</v>
      </c>
      <c r="I342" s="16" t="s">
        <v>14</v>
      </c>
      <c r="J342" s="14" t="str">
        <f t="shared" ca="1" si="20"/>
        <v>Yes</v>
      </c>
    </row>
    <row r="343" spans="1:10" x14ac:dyDescent="0.35">
      <c r="A343" s="12">
        <f t="shared" si="21"/>
        <v>5</v>
      </c>
      <c r="B343" s="12" t="str">
        <f t="shared" si="22"/>
        <v>Jan2025</v>
      </c>
      <c r="C343" s="12" t="str">
        <f t="shared" si="23"/>
        <v>Friday</v>
      </c>
      <c r="D343" s="13">
        <v>45688</v>
      </c>
      <c r="E343" s="14">
        <v>7</v>
      </c>
      <c r="F343" s="12">
        <v>10756176632</v>
      </c>
      <c r="G343" s="14" t="s">
        <v>7</v>
      </c>
      <c r="H343" s="14" t="s">
        <v>61</v>
      </c>
      <c r="I343" s="16" t="s">
        <v>54</v>
      </c>
      <c r="J343" s="14" t="str">
        <f t="shared" ca="1" si="20"/>
        <v>No</v>
      </c>
    </row>
    <row r="344" spans="1:10" x14ac:dyDescent="0.35">
      <c r="A344" s="12">
        <f t="shared" si="21"/>
        <v>5</v>
      </c>
      <c r="B344" s="12" t="str">
        <f t="shared" si="22"/>
        <v>Jan2025</v>
      </c>
      <c r="C344" s="12" t="str">
        <f t="shared" si="23"/>
        <v>Friday</v>
      </c>
      <c r="D344" s="13">
        <v>45688</v>
      </c>
      <c r="E344" s="14">
        <v>8</v>
      </c>
      <c r="F344" s="12">
        <v>10754697852</v>
      </c>
      <c r="G344" s="14" t="s">
        <v>7</v>
      </c>
      <c r="H344" s="14" t="s">
        <v>61</v>
      </c>
      <c r="I344" s="16" t="s">
        <v>47</v>
      </c>
      <c r="J344" s="14" t="str">
        <f t="shared" ca="1" si="20"/>
        <v>No</v>
      </c>
    </row>
    <row r="345" spans="1:10" x14ac:dyDescent="0.35">
      <c r="A345" s="12">
        <f t="shared" si="21"/>
        <v>5</v>
      </c>
      <c r="B345" s="12" t="str">
        <f t="shared" si="22"/>
        <v>Jan2025</v>
      </c>
      <c r="C345" s="12" t="str">
        <f t="shared" si="23"/>
        <v>Friday</v>
      </c>
      <c r="D345" s="13">
        <v>45688</v>
      </c>
      <c r="E345" s="14">
        <v>9</v>
      </c>
      <c r="F345" s="12">
        <v>10664810712</v>
      </c>
      <c r="G345" s="14" t="s">
        <v>3</v>
      </c>
      <c r="H345" s="14" t="s">
        <v>11</v>
      </c>
      <c r="I345" s="16" t="s">
        <v>16</v>
      </c>
      <c r="J345" s="14" t="str">
        <f t="shared" ca="1" si="20"/>
        <v>No</v>
      </c>
    </row>
    <row r="346" spans="1:10" x14ac:dyDescent="0.35">
      <c r="A346" s="12">
        <f t="shared" si="21"/>
        <v>5</v>
      </c>
      <c r="B346" s="12" t="str">
        <f t="shared" si="22"/>
        <v>Jan2025</v>
      </c>
      <c r="C346" s="12" t="str">
        <f t="shared" si="23"/>
        <v>Friday</v>
      </c>
      <c r="D346" s="13">
        <v>45688</v>
      </c>
      <c r="E346" s="14">
        <v>10</v>
      </c>
      <c r="F346" s="12">
        <v>10758813672</v>
      </c>
      <c r="G346" s="14" t="s">
        <v>4</v>
      </c>
      <c r="H346" s="14" t="s">
        <v>11</v>
      </c>
      <c r="I346" s="16" t="s">
        <v>13</v>
      </c>
      <c r="J346" s="14" t="str">
        <f t="shared" ca="1" si="20"/>
        <v>Yes</v>
      </c>
    </row>
    <row r="347" spans="1:10" x14ac:dyDescent="0.35">
      <c r="A347" s="12">
        <f t="shared" si="21"/>
        <v>5</v>
      </c>
      <c r="B347" s="12" t="str">
        <f t="shared" si="22"/>
        <v>Jan2025</v>
      </c>
      <c r="C347" s="12" t="str">
        <f t="shared" si="23"/>
        <v>Friday</v>
      </c>
      <c r="D347" s="13">
        <v>45688</v>
      </c>
      <c r="E347" s="14">
        <v>11</v>
      </c>
      <c r="F347" s="12">
        <v>10746390212</v>
      </c>
      <c r="G347" s="14" t="s">
        <v>4</v>
      </c>
      <c r="H347" s="14" t="s">
        <v>11</v>
      </c>
      <c r="I347" s="16" t="s">
        <v>92</v>
      </c>
      <c r="J347" s="14" t="str">
        <f t="shared" ca="1" si="20"/>
        <v>No</v>
      </c>
    </row>
    <row r="348" spans="1:10" x14ac:dyDescent="0.35">
      <c r="A348" s="12">
        <f t="shared" si="21"/>
        <v>5</v>
      </c>
      <c r="B348" s="12" t="str">
        <f t="shared" si="22"/>
        <v>Jan2025</v>
      </c>
      <c r="C348" s="12" t="str">
        <f t="shared" si="23"/>
        <v>Friday</v>
      </c>
      <c r="D348" s="13">
        <v>45688</v>
      </c>
      <c r="E348" s="14">
        <v>12</v>
      </c>
      <c r="F348" s="12">
        <v>10631546752</v>
      </c>
      <c r="G348" s="14" t="s">
        <v>7</v>
      </c>
      <c r="H348" s="14" t="s">
        <v>11</v>
      </c>
      <c r="I348" s="16" t="s">
        <v>18</v>
      </c>
      <c r="J348" s="14" t="str">
        <f t="shared" ca="1" si="20"/>
        <v>Yes</v>
      </c>
    </row>
    <row r="349" spans="1:10" x14ac:dyDescent="0.35">
      <c r="A349" s="12">
        <f t="shared" si="21"/>
        <v>5</v>
      </c>
      <c r="B349" s="12" t="str">
        <f t="shared" si="22"/>
        <v>Jan2025</v>
      </c>
      <c r="C349" s="12" t="str">
        <f t="shared" si="23"/>
        <v>Friday</v>
      </c>
      <c r="D349" s="13">
        <v>45688</v>
      </c>
      <c r="E349" s="14">
        <v>13</v>
      </c>
      <c r="F349" s="12">
        <v>10758102442</v>
      </c>
      <c r="G349" s="14" t="s">
        <v>7</v>
      </c>
      <c r="H349" s="14" t="s">
        <v>21</v>
      </c>
      <c r="I349" s="16" t="s">
        <v>58</v>
      </c>
      <c r="J349" s="14" t="str">
        <f t="shared" ca="1" si="20"/>
        <v>Yes</v>
      </c>
    </row>
    <row r="350" spans="1:10" x14ac:dyDescent="0.35">
      <c r="A350" s="12">
        <f t="shared" si="21"/>
        <v>5</v>
      </c>
      <c r="B350" s="12" t="str">
        <f t="shared" si="22"/>
        <v>Jan2025</v>
      </c>
      <c r="C350" s="12" t="str">
        <f t="shared" si="23"/>
        <v>Friday</v>
      </c>
      <c r="D350" s="13">
        <v>45688</v>
      </c>
      <c r="E350" s="14">
        <v>14</v>
      </c>
      <c r="F350" s="12">
        <v>10758960772</v>
      </c>
      <c r="G350" s="14" t="s">
        <v>7</v>
      </c>
      <c r="H350" s="14" t="s">
        <v>61</v>
      </c>
      <c r="I350" s="16" t="s">
        <v>103</v>
      </c>
      <c r="J350" s="14" t="str">
        <f t="shared" ca="1" si="20"/>
        <v>No</v>
      </c>
    </row>
    <row r="351" spans="1:10" x14ac:dyDescent="0.35">
      <c r="A351" s="12">
        <f t="shared" si="21"/>
        <v>5</v>
      </c>
      <c r="B351" s="12" t="str">
        <f t="shared" si="22"/>
        <v>Jan2025</v>
      </c>
      <c r="C351" s="12" t="str">
        <f t="shared" si="23"/>
        <v>Friday</v>
      </c>
      <c r="D351" s="13">
        <v>45688</v>
      </c>
      <c r="E351" s="14">
        <v>15</v>
      </c>
      <c r="F351" s="12">
        <v>10758171672</v>
      </c>
      <c r="G351" s="14" t="s">
        <v>5</v>
      </c>
      <c r="H351" s="14" t="s">
        <v>21</v>
      </c>
      <c r="I351" s="16" t="s">
        <v>46</v>
      </c>
      <c r="J351" s="14" t="str">
        <f t="shared" ca="1" si="20"/>
        <v>Yes</v>
      </c>
    </row>
    <row r="352" spans="1:10" x14ac:dyDescent="0.35">
      <c r="A352" s="12">
        <f t="shared" si="21"/>
        <v>5</v>
      </c>
      <c r="B352" s="12" t="str">
        <f t="shared" si="22"/>
        <v>Jan2025</v>
      </c>
      <c r="C352" s="12" t="str">
        <f t="shared" si="23"/>
        <v>Friday</v>
      </c>
      <c r="D352" s="13">
        <v>45688</v>
      </c>
      <c r="E352" s="14">
        <v>16</v>
      </c>
      <c r="F352" s="12">
        <v>10758732312</v>
      </c>
      <c r="G352" s="14" t="s">
        <v>4</v>
      </c>
      <c r="H352" s="14" t="s">
        <v>11</v>
      </c>
      <c r="I352" s="16" t="s">
        <v>92</v>
      </c>
      <c r="J352" s="14" t="str">
        <f t="shared" ca="1" si="20"/>
        <v>No</v>
      </c>
    </row>
    <row r="353" spans="1:10" x14ac:dyDescent="0.35">
      <c r="A353" s="12">
        <f t="shared" si="21"/>
        <v>5</v>
      </c>
      <c r="B353" s="12" t="str">
        <f t="shared" si="22"/>
        <v>Jan2025</v>
      </c>
      <c r="C353" s="12" t="str">
        <f t="shared" si="23"/>
        <v>Friday</v>
      </c>
      <c r="D353" s="13">
        <v>45688</v>
      </c>
      <c r="E353" s="14">
        <v>17</v>
      </c>
      <c r="F353" s="12">
        <v>10757814132</v>
      </c>
      <c r="G353" s="14" t="s">
        <v>7</v>
      </c>
      <c r="H353" s="14" t="s">
        <v>61</v>
      </c>
      <c r="I353" s="16" t="s">
        <v>47</v>
      </c>
      <c r="J353" s="14" t="str">
        <f t="shared" ca="1" si="20"/>
        <v>No</v>
      </c>
    </row>
    <row r="354" spans="1:10" x14ac:dyDescent="0.35">
      <c r="A354" s="12">
        <f t="shared" si="21"/>
        <v>5</v>
      </c>
      <c r="B354" s="12" t="str">
        <f t="shared" si="22"/>
        <v>Jan2025</v>
      </c>
      <c r="C354" s="12" t="str">
        <f t="shared" si="23"/>
        <v>Friday</v>
      </c>
      <c r="D354" s="13">
        <v>45688</v>
      </c>
      <c r="E354" s="14">
        <v>18</v>
      </c>
      <c r="F354" s="12">
        <v>10758944782</v>
      </c>
      <c r="G354" s="14" t="s">
        <v>4</v>
      </c>
      <c r="H354" s="14" t="s">
        <v>61</v>
      </c>
      <c r="I354" s="16" t="s">
        <v>166</v>
      </c>
      <c r="J354" s="14" t="str">
        <f t="shared" ca="1" si="20"/>
        <v>No</v>
      </c>
    </row>
    <row r="355" spans="1:10" x14ac:dyDescent="0.35">
      <c r="A355" s="12">
        <f t="shared" si="21"/>
        <v>5</v>
      </c>
      <c r="B355" s="12" t="str">
        <f t="shared" si="22"/>
        <v>Jan2025</v>
      </c>
      <c r="C355" s="12" t="str">
        <f t="shared" si="23"/>
        <v>Friday</v>
      </c>
      <c r="D355" s="13">
        <v>45688</v>
      </c>
      <c r="E355" s="14">
        <v>19</v>
      </c>
      <c r="F355" s="12">
        <v>10753183902</v>
      </c>
      <c r="G355" s="14" t="s">
        <v>4</v>
      </c>
      <c r="H355" s="14" t="s">
        <v>11</v>
      </c>
      <c r="I355" s="16" t="s">
        <v>167</v>
      </c>
      <c r="J355" s="14" t="str">
        <f t="shared" ca="1" si="20"/>
        <v>No</v>
      </c>
    </row>
    <row r="356" spans="1:10" x14ac:dyDescent="0.35">
      <c r="A356" s="12">
        <f t="shared" si="21"/>
        <v>5</v>
      </c>
      <c r="B356" s="12" t="str">
        <f t="shared" si="22"/>
        <v>Jan2025</v>
      </c>
      <c r="C356" s="12" t="str">
        <f t="shared" si="23"/>
        <v>Friday</v>
      </c>
      <c r="D356" s="13">
        <v>45688</v>
      </c>
      <c r="E356" s="14">
        <v>20</v>
      </c>
      <c r="F356" s="12">
        <v>10757309982</v>
      </c>
      <c r="G356" s="14" t="s">
        <v>7</v>
      </c>
      <c r="H356" s="14" t="s">
        <v>61</v>
      </c>
      <c r="I356" s="16" t="s">
        <v>96</v>
      </c>
      <c r="J356" s="14" t="str">
        <f t="shared" ca="1" si="20"/>
        <v>No</v>
      </c>
    </row>
    <row r="357" spans="1:10" x14ac:dyDescent="0.35">
      <c r="A357" s="12">
        <f t="shared" si="21"/>
        <v>5</v>
      </c>
      <c r="B357" s="12" t="str">
        <f t="shared" si="22"/>
        <v>Jan2025</v>
      </c>
      <c r="C357" s="12" t="str">
        <f t="shared" si="23"/>
        <v>Friday</v>
      </c>
      <c r="D357" s="13">
        <v>45688</v>
      </c>
      <c r="E357" s="14">
        <v>21</v>
      </c>
      <c r="F357" s="12">
        <v>10738909832</v>
      </c>
      <c r="G357" s="14" t="s">
        <v>5</v>
      </c>
      <c r="H357" s="14" t="s">
        <v>11</v>
      </c>
      <c r="I357" s="16" t="s">
        <v>23</v>
      </c>
      <c r="J357" s="14" t="str">
        <f t="shared" ca="1" si="20"/>
        <v>No</v>
      </c>
    </row>
    <row r="358" spans="1:10" x14ac:dyDescent="0.35">
      <c r="A358" s="12">
        <f t="shared" si="21"/>
        <v>5</v>
      </c>
      <c r="B358" s="12" t="str">
        <f t="shared" si="22"/>
        <v>Jan2025</v>
      </c>
      <c r="C358" s="12" t="str">
        <f t="shared" si="23"/>
        <v>Friday</v>
      </c>
      <c r="D358" s="13">
        <v>45688</v>
      </c>
      <c r="E358" s="14">
        <v>22</v>
      </c>
      <c r="F358" s="12">
        <v>10758087052</v>
      </c>
      <c r="G358" s="14" t="s">
        <v>7</v>
      </c>
      <c r="H358" s="14" t="s">
        <v>11</v>
      </c>
      <c r="I358" s="16" t="s">
        <v>21</v>
      </c>
      <c r="J358" s="14" t="str">
        <f t="shared" ca="1" si="20"/>
        <v>No</v>
      </c>
    </row>
    <row r="359" spans="1:10" x14ac:dyDescent="0.35">
      <c r="A359" s="12">
        <f t="shared" si="21"/>
        <v>5</v>
      </c>
      <c r="B359" s="12" t="str">
        <f t="shared" si="22"/>
        <v>Jan2025</v>
      </c>
      <c r="C359" s="12" t="str">
        <f t="shared" si="23"/>
        <v>Friday</v>
      </c>
      <c r="D359" s="13">
        <v>45688</v>
      </c>
      <c r="E359" s="14">
        <v>23</v>
      </c>
      <c r="F359" s="12">
        <v>10759122452</v>
      </c>
      <c r="G359" s="14" t="s">
        <v>4</v>
      </c>
      <c r="H359" s="14" t="s">
        <v>11</v>
      </c>
      <c r="I359" s="16" t="s">
        <v>69</v>
      </c>
      <c r="J359" s="14" t="str">
        <f t="shared" ca="1" si="20"/>
        <v>Yes</v>
      </c>
    </row>
    <row r="360" spans="1:10" x14ac:dyDescent="0.35">
      <c r="A360" s="12">
        <f t="shared" si="21"/>
        <v>5</v>
      </c>
      <c r="B360" s="12" t="str">
        <f t="shared" si="22"/>
        <v>Jan2025</v>
      </c>
      <c r="C360" s="12" t="str">
        <f t="shared" si="23"/>
        <v>Friday</v>
      </c>
      <c r="D360" s="13">
        <v>45688</v>
      </c>
      <c r="E360" s="14">
        <v>24</v>
      </c>
      <c r="F360" s="12">
        <v>10758905732</v>
      </c>
      <c r="G360" s="14" t="s">
        <v>4</v>
      </c>
      <c r="H360" s="14" t="s">
        <v>11</v>
      </c>
      <c r="I360" s="16" t="s">
        <v>142</v>
      </c>
      <c r="J360" s="14" t="str">
        <f t="shared" ca="1" si="20"/>
        <v>Yes</v>
      </c>
    </row>
    <row r="361" spans="1:10" x14ac:dyDescent="0.35">
      <c r="A361" s="12">
        <f t="shared" si="21"/>
        <v>5</v>
      </c>
      <c r="B361" s="12" t="str">
        <f t="shared" si="22"/>
        <v>Feb2025</v>
      </c>
      <c r="C361" s="12" t="str">
        <f t="shared" si="23"/>
        <v>Saturday</v>
      </c>
      <c r="D361" s="13">
        <v>45689</v>
      </c>
      <c r="E361" s="14">
        <v>1</v>
      </c>
      <c r="F361" s="12">
        <v>10721977672</v>
      </c>
      <c r="G361" s="14" t="s">
        <v>3</v>
      </c>
      <c r="H361" s="14" t="s">
        <v>11</v>
      </c>
      <c r="I361" s="16" t="s">
        <v>62</v>
      </c>
      <c r="J361" s="14" t="str">
        <f t="shared" ca="1" si="20"/>
        <v>Yes</v>
      </c>
    </row>
    <row r="362" spans="1:10" x14ac:dyDescent="0.35">
      <c r="A362" s="12">
        <f t="shared" si="21"/>
        <v>1</v>
      </c>
      <c r="B362" s="12" t="str">
        <f t="shared" si="22"/>
        <v>Jan2025</v>
      </c>
      <c r="C362" s="12" t="str">
        <f t="shared" si="23"/>
        <v>Thursday</v>
      </c>
      <c r="D362" s="13">
        <v>45659</v>
      </c>
      <c r="E362" s="14">
        <v>2</v>
      </c>
      <c r="F362" s="12">
        <v>10754749362</v>
      </c>
      <c r="G362" s="14" t="s">
        <v>4</v>
      </c>
      <c r="H362" s="14" t="s">
        <v>21</v>
      </c>
      <c r="I362" s="16" t="s">
        <v>24</v>
      </c>
      <c r="J362" s="14" t="str">
        <f t="shared" ca="1" si="20"/>
        <v>No</v>
      </c>
    </row>
    <row r="363" spans="1:10" x14ac:dyDescent="0.35">
      <c r="A363" s="12">
        <f t="shared" si="21"/>
        <v>1</v>
      </c>
      <c r="B363" s="12" t="str">
        <f t="shared" si="22"/>
        <v>Jan2025</v>
      </c>
      <c r="C363" s="12" t="str">
        <f t="shared" si="23"/>
        <v>Thursday</v>
      </c>
      <c r="D363" s="13">
        <v>45659</v>
      </c>
      <c r="E363" s="14">
        <v>3</v>
      </c>
      <c r="F363" s="12">
        <v>10753352202</v>
      </c>
      <c r="G363" s="14" t="s">
        <v>5</v>
      </c>
      <c r="H363" s="14" t="s">
        <v>21</v>
      </c>
      <c r="I363" s="16" t="s">
        <v>51</v>
      </c>
      <c r="J363" s="14" t="str">
        <f t="shared" ca="1" si="20"/>
        <v>Yes</v>
      </c>
    </row>
    <row r="364" spans="1:10" x14ac:dyDescent="0.35">
      <c r="A364" s="12">
        <f t="shared" si="21"/>
        <v>1</v>
      </c>
      <c r="B364" s="12" t="str">
        <f t="shared" si="22"/>
        <v>Jan2025</v>
      </c>
      <c r="C364" s="12" t="str">
        <f t="shared" si="23"/>
        <v>Thursday</v>
      </c>
      <c r="D364" s="13">
        <v>45659</v>
      </c>
      <c r="E364" s="14">
        <v>4</v>
      </c>
      <c r="F364" s="12">
        <v>10762989732</v>
      </c>
      <c r="G364" s="14" t="s">
        <v>4</v>
      </c>
      <c r="H364" s="14" t="s">
        <v>11</v>
      </c>
      <c r="I364" s="16" t="s">
        <v>92</v>
      </c>
      <c r="J364" s="14" t="str">
        <f t="shared" ca="1" si="20"/>
        <v>No</v>
      </c>
    </row>
    <row r="365" spans="1:10" x14ac:dyDescent="0.35">
      <c r="A365" s="12">
        <f t="shared" si="21"/>
        <v>1</v>
      </c>
      <c r="B365" s="12" t="str">
        <f t="shared" si="22"/>
        <v>Jan2025</v>
      </c>
      <c r="C365" s="12" t="str">
        <f t="shared" si="23"/>
        <v>Thursday</v>
      </c>
      <c r="D365" s="13">
        <v>45659</v>
      </c>
      <c r="E365" s="14">
        <v>5</v>
      </c>
      <c r="F365" s="12">
        <v>10762436052</v>
      </c>
      <c r="G365" s="14" t="s">
        <v>3</v>
      </c>
      <c r="H365" s="14" t="s">
        <v>11</v>
      </c>
      <c r="I365" s="16" t="s">
        <v>16</v>
      </c>
      <c r="J365" s="14" t="str">
        <f t="shared" ca="1" si="20"/>
        <v>No</v>
      </c>
    </row>
    <row r="366" spans="1:10" x14ac:dyDescent="0.35">
      <c r="A366" s="12">
        <f t="shared" si="21"/>
        <v>1</v>
      </c>
      <c r="B366" s="12" t="str">
        <f t="shared" si="22"/>
        <v>Jan2025</v>
      </c>
      <c r="C366" s="12" t="str">
        <f t="shared" si="23"/>
        <v>Thursday</v>
      </c>
      <c r="D366" s="13">
        <v>45659</v>
      </c>
      <c r="E366" s="14">
        <v>6</v>
      </c>
      <c r="F366" s="12">
        <v>10752510272</v>
      </c>
      <c r="G366" s="14" t="s">
        <v>5</v>
      </c>
      <c r="H366" s="14" t="s">
        <v>21</v>
      </c>
      <c r="I366" s="16" t="s">
        <v>35</v>
      </c>
      <c r="J366" s="14" t="str">
        <f t="shared" ca="1" si="20"/>
        <v>No</v>
      </c>
    </row>
    <row r="367" spans="1:10" x14ac:dyDescent="0.35">
      <c r="A367" s="12">
        <f t="shared" si="21"/>
        <v>1</v>
      </c>
      <c r="B367" s="12" t="str">
        <f t="shared" si="22"/>
        <v>Jan2025</v>
      </c>
      <c r="C367" s="12" t="str">
        <f t="shared" si="23"/>
        <v>Thursday</v>
      </c>
      <c r="D367" s="13">
        <v>45659</v>
      </c>
      <c r="E367" s="14">
        <v>7</v>
      </c>
      <c r="F367" s="12">
        <v>10753924842</v>
      </c>
      <c r="G367" s="14" t="s">
        <v>3</v>
      </c>
      <c r="H367" s="14" t="s">
        <v>21</v>
      </c>
      <c r="I367" s="16" t="s">
        <v>16</v>
      </c>
      <c r="J367" s="14" t="str">
        <f t="shared" ca="1" si="20"/>
        <v>No</v>
      </c>
    </row>
    <row r="368" spans="1:10" x14ac:dyDescent="0.35">
      <c r="A368" s="12">
        <f t="shared" si="21"/>
        <v>1</v>
      </c>
      <c r="B368" s="12" t="str">
        <f t="shared" si="22"/>
        <v>Jan2025</v>
      </c>
      <c r="C368" s="12" t="str">
        <f t="shared" si="23"/>
        <v>Thursday</v>
      </c>
      <c r="D368" s="13">
        <v>45659</v>
      </c>
      <c r="E368" s="14">
        <v>8</v>
      </c>
      <c r="F368" s="12">
        <v>10762986942</v>
      </c>
      <c r="G368" s="14" t="s">
        <v>4</v>
      </c>
      <c r="H368" s="14" t="s">
        <v>11</v>
      </c>
      <c r="I368" s="16" t="s">
        <v>32</v>
      </c>
      <c r="J368" s="14" t="str">
        <f t="shared" ca="1" si="20"/>
        <v>No</v>
      </c>
    </row>
    <row r="369" spans="1:10" x14ac:dyDescent="0.35">
      <c r="A369" s="12">
        <f t="shared" si="21"/>
        <v>1</v>
      </c>
      <c r="B369" s="12" t="str">
        <f t="shared" si="22"/>
        <v>Jan2025</v>
      </c>
      <c r="C369" s="12" t="str">
        <f t="shared" si="23"/>
        <v>Thursday</v>
      </c>
      <c r="D369" s="13">
        <v>45659</v>
      </c>
      <c r="E369" s="14">
        <v>9</v>
      </c>
      <c r="F369" s="12">
        <v>10762895952</v>
      </c>
      <c r="G369" s="14" t="s">
        <v>5</v>
      </c>
      <c r="H369" s="14" t="s">
        <v>11</v>
      </c>
      <c r="I369" s="16" t="s">
        <v>53</v>
      </c>
      <c r="J369" s="14" t="str">
        <f t="shared" ca="1" si="20"/>
        <v>No</v>
      </c>
    </row>
    <row r="370" spans="1:10" x14ac:dyDescent="0.35">
      <c r="A370" s="12">
        <f t="shared" si="21"/>
        <v>1</v>
      </c>
      <c r="B370" s="12" t="str">
        <f t="shared" si="22"/>
        <v>Jan2025</v>
      </c>
      <c r="C370" s="12" t="str">
        <f t="shared" si="23"/>
        <v>Thursday</v>
      </c>
      <c r="D370" s="13">
        <v>45659</v>
      </c>
      <c r="E370" s="14">
        <v>10</v>
      </c>
      <c r="F370" s="12">
        <v>10762897482</v>
      </c>
      <c r="G370" s="14" t="s">
        <v>7</v>
      </c>
      <c r="H370" s="14" t="s">
        <v>61</v>
      </c>
      <c r="I370" s="16" t="s">
        <v>168</v>
      </c>
      <c r="J370" s="14" t="str">
        <f t="shared" ca="1" si="20"/>
        <v>No</v>
      </c>
    </row>
    <row r="371" spans="1:10" x14ac:dyDescent="0.35">
      <c r="A371" s="12">
        <f t="shared" si="21"/>
        <v>1</v>
      </c>
      <c r="B371" s="12" t="str">
        <f t="shared" si="22"/>
        <v>Jan2025</v>
      </c>
      <c r="C371" s="12" t="str">
        <f t="shared" si="23"/>
        <v>Thursday</v>
      </c>
      <c r="D371" s="13">
        <v>45659</v>
      </c>
      <c r="E371" s="14">
        <v>11</v>
      </c>
      <c r="F371" s="12">
        <v>10763955682</v>
      </c>
      <c r="G371" s="14" t="s">
        <v>4</v>
      </c>
      <c r="H371" s="14" t="s">
        <v>11</v>
      </c>
      <c r="I371" s="16" t="s">
        <v>138</v>
      </c>
      <c r="J371" s="14" t="str">
        <f t="shared" ca="1" si="20"/>
        <v>No</v>
      </c>
    </row>
    <row r="372" spans="1:10" x14ac:dyDescent="0.35">
      <c r="A372" s="12">
        <f t="shared" si="21"/>
        <v>1</v>
      </c>
      <c r="B372" s="12" t="str">
        <f t="shared" si="22"/>
        <v>Jan2025</v>
      </c>
      <c r="C372" s="12" t="str">
        <f t="shared" si="23"/>
        <v>Thursday</v>
      </c>
      <c r="D372" s="13">
        <v>45659</v>
      </c>
      <c r="E372" s="14">
        <v>12</v>
      </c>
      <c r="F372" s="12">
        <v>10763294912</v>
      </c>
      <c r="G372" s="14" t="s">
        <v>10</v>
      </c>
      <c r="H372" s="14" t="s">
        <v>11</v>
      </c>
      <c r="I372" s="16" t="s">
        <v>169</v>
      </c>
      <c r="J372" s="14" t="str">
        <f t="shared" ca="1" si="20"/>
        <v>No</v>
      </c>
    </row>
    <row r="373" spans="1:10" x14ac:dyDescent="0.35">
      <c r="A373" s="12">
        <f t="shared" si="21"/>
        <v>1</v>
      </c>
      <c r="B373" s="12" t="str">
        <f t="shared" si="22"/>
        <v>Jan2025</v>
      </c>
      <c r="C373" s="12" t="str">
        <f t="shared" si="23"/>
        <v>Thursday</v>
      </c>
      <c r="D373" s="13">
        <v>45659</v>
      </c>
      <c r="E373" s="14">
        <v>13</v>
      </c>
      <c r="F373" s="12">
        <v>10763055022</v>
      </c>
      <c r="G373" s="14" t="s">
        <v>7</v>
      </c>
      <c r="H373" s="14" t="s">
        <v>61</v>
      </c>
      <c r="I373" s="16" t="s">
        <v>21</v>
      </c>
      <c r="J373" s="14" t="str">
        <f t="shared" ca="1" si="20"/>
        <v>No</v>
      </c>
    </row>
    <row r="374" spans="1:10" x14ac:dyDescent="0.35">
      <c r="A374" s="12">
        <f t="shared" si="21"/>
        <v>1</v>
      </c>
      <c r="B374" s="12" t="str">
        <f t="shared" si="22"/>
        <v>Jan2025</v>
      </c>
      <c r="C374" s="12" t="str">
        <f t="shared" si="23"/>
        <v>Thursday</v>
      </c>
      <c r="D374" s="13">
        <v>45659</v>
      </c>
      <c r="E374" s="14">
        <v>14</v>
      </c>
      <c r="F374" s="12">
        <v>10762951192</v>
      </c>
      <c r="G374" s="14" t="s">
        <v>4</v>
      </c>
      <c r="H374" s="14" t="s">
        <v>61</v>
      </c>
      <c r="I374" s="16" t="s">
        <v>74</v>
      </c>
      <c r="J374" s="14" t="str">
        <f t="shared" ca="1" si="20"/>
        <v>No</v>
      </c>
    </row>
    <row r="375" spans="1:10" x14ac:dyDescent="0.35">
      <c r="A375" s="12">
        <f t="shared" si="21"/>
        <v>1</v>
      </c>
      <c r="B375" s="12" t="str">
        <f t="shared" si="22"/>
        <v>Jan2025</v>
      </c>
      <c r="C375" s="12" t="str">
        <f t="shared" si="23"/>
        <v>Thursday</v>
      </c>
      <c r="D375" s="13">
        <v>45659</v>
      </c>
      <c r="E375" s="14">
        <v>15</v>
      </c>
      <c r="F375" s="12">
        <v>10753186312</v>
      </c>
      <c r="G375" s="14" t="s">
        <v>3</v>
      </c>
      <c r="H375" s="14" t="s">
        <v>61</v>
      </c>
      <c r="I375" s="16" t="s">
        <v>16</v>
      </c>
      <c r="J375" s="14" t="str">
        <f t="shared" ca="1" si="20"/>
        <v>Yes</v>
      </c>
    </row>
    <row r="376" spans="1:10" x14ac:dyDescent="0.35">
      <c r="A376" s="12">
        <f t="shared" si="21"/>
        <v>1</v>
      </c>
      <c r="B376" s="12" t="str">
        <f t="shared" si="22"/>
        <v>Jan2025</v>
      </c>
      <c r="C376" s="12" t="str">
        <f t="shared" si="23"/>
        <v>Thursday</v>
      </c>
      <c r="D376" s="13">
        <v>45659</v>
      </c>
      <c r="E376" s="14">
        <v>16</v>
      </c>
      <c r="F376" s="12">
        <v>10753687672</v>
      </c>
      <c r="G376" s="14" t="s">
        <v>3</v>
      </c>
      <c r="H376" s="14" t="s">
        <v>21</v>
      </c>
      <c r="I376" s="16" t="s">
        <v>16</v>
      </c>
      <c r="J376" s="14" t="str">
        <f t="shared" ca="1" si="20"/>
        <v>No</v>
      </c>
    </row>
    <row r="377" spans="1:10" x14ac:dyDescent="0.35">
      <c r="A377" s="12">
        <f t="shared" si="21"/>
        <v>1</v>
      </c>
      <c r="B377" s="12" t="str">
        <f t="shared" si="22"/>
        <v>Jan2025</v>
      </c>
      <c r="C377" s="12" t="str">
        <f t="shared" si="23"/>
        <v>Thursday</v>
      </c>
      <c r="D377" s="13">
        <v>45659</v>
      </c>
      <c r="E377" s="14">
        <v>17</v>
      </c>
      <c r="F377" s="12">
        <v>10762546732</v>
      </c>
      <c r="G377" s="14" t="s">
        <v>4</v>
      </c>
      <c r="H377" s="14" t="s">
        <v>61</v>
      </c>
      <c r="I377" s="16" t="s">
        <v>170</v>
      </c>
      <c r="J377" s="14" t="str">
        <f t="shared" ca="1" si="20"/>
        <v>Yes</v>
      </c>
    </row>
    <row r="378" spans="1:10" x14ac:dyDescent="0.35">
      <c r="A378" s="12">
        <f t="shared" si="21"/>
        <v>1</v>
      </c>
      <c r="B378" s="12" t="str">
        <f t="shared" si="22"/>
        <v>Jan2025</v>
      </c>
      <c r="C378" s="12" t="str">
        <f t="shared" si="23"/>
        <v>Thursday</v>
      </c>
      <c r="D378" s="13">
        <v>45659</v>
      </c>
      <c r="E378" s="14">
        <v>18</v>
      </c>
      <c r="F378" s="12">
        <v>10762448512</v>
      </c>
      <c r="G378" s="14" t="s">
        <v>7</v>
      </c>
      <c r="H378" s="14" t="s">
        <v>61</v>
      </c>
      <c r="I378" s="16" t="s">
        <v>130</v>
      </c>
      <c r="J378" s="14" t="str">
        <f t="shared" ca="1" si="20"/>
        <v>No</v>
      </c>
    </row>
    <row r="379" spans="1:10" x14ac:dyDescent="0.35">
      <c r="A379" s="12">
        <f t="shared" si="21"/>
        <v>1</v>
      </c>
      <c r="B379" s="12" t="str">
        <f t="shared" si="22"/>
        <v>Jan2025</v>
      </c>
      <c r="C379" s="12" t="str">
        <f t="shared" si="23"/>
        <v>Thursday</v>
      </c>
      <c r="D379" s="13">
        <v>45659</v>
      </c>
      <c r="E379" s="14">
        <v>19</v>
      </c>
      <c r="F379" s="12">
        <v>10655135682</v>
      </c>
      <c r="G379" s="14" t="s">
        <v>3</v>
      </c>
      <c r="H379" s="14" t="s">
        <v>11</v>
      </c>
      <c r="I379" s="16" t="s">
        <v>16</v>
      </c>
      <c r="J379" s="14" t="str">
        <f t="shared" ca="1" si="20"/>
        <v>No</v>
      </c>
    </row>
    <row r="380" spans="1:10" x14ac:dyDescent="0.35">
      <c r="A380" s="12">
        <f t="shared" si="21"/>
        <v>1</v>
      </c>
      <c r="B380" s="12" t="str">
        <f t="shared" si="22"/>
        <v>Jan2025</v>
      </c>
      <c r="C380" s="12" t="str">
        <f t="shared" si="23"/>
        <v>Thursday</v>
      </c>
      <c r="D380" s="13">
        <v>45659</v>
      </c>
      <c r="E380" s="14">
        <v>20</v>
      </c>
      <c r="F380" s="12">
        <v>10762904082</v>
      </c>
      <c r="G380" s="14" t="s">
        <v>7</v>
      </c>
      <c r="H380" s="14" t="s">
        <v>61</v>
      </c>
      <c r="I380" s="16" t="s">
        <v>95</v>
      </c>
      <c r="J380" s="14" t="str">
        <f t="shared" ca="1" si="20"/>
        <v>No</v>
      </c>
    </row>
    <row r="381" spans="1:10" x14ac:dyDescent="0.35">
      <c r="A381" s="12">
        <f t="shared" si="21"/>
        <v>1</v>
      </c>
      <c r="B381" s="12" t="str">
        <f t="shared" si="22"/>
        <v>Jan2025</v>
      </c>
      <c r="C381" s="12" t="str">
        <f t="shared" si="23"/>
        <v>Thursday</v>
      </c>
      <c r="D381" s="13">
        <v>45659</v>
      </c>
      <c r="E381" s="14">
        <v>21</v>
      </c>
      <c r="F381" s="12">
        <v>10763961102</v>
      </c>
      <c r="G381" s="14" t="s">
        <v>5</v>
      </c>
      <c r="H381" s="14" t="s">
        <v>61</v>
      </c>
      <c r="I381" s="16" t="s">
        <v>14</v>
      </c>
      <c r="J381" s="14" t="str">
        <f t="shared" ca="1" si="20"/>
        <v>No</v>
      </c>
    </row>
    <row r="382" spans="1:10" x14ac:dyDescent="0.35">
      <c r="A382" s="12">
        <f t="shared" si="21"/>
        <v>1</v>
      </c>
      <c r="B382" s="12" t="str">
        <f t="shared" si="22"/>
        <v>Jan2025</v>
      </c>
      <c r="C382" s="12" t="str">
        <f t="shared" si="23"/>
        <v>Thursday</v>
      </c>
      <c r="D382" s="13">
        <v>45659</v>
      </c>
      <c r="E382" s="14">
        <v>22</v>
      </c>
      <c r="F382" s="12">
        <v>10763221282</v>
      </c>
      <c r="G382" s="14" t="s">
        <v>3</v>
      </c>
      <c r="H382" s="14" t="s">
        <v>11</v>
      </c>
      <c r="I382" s="16" t="s">
        <v>66</v>
      </c>
      <c r="J382" s="14" t="str">
        <f t="shared" ca="1" si="20"/>
        <v>No</v>
      </c>
    </row>
    <row r="383" spans="1:10" x14ac:dyDescent="0.35">
      <c r="A383" s="12">
        <f t="shared" si="21"/>
        <v>1</v>
      </c>
      <c r="B383" s="12" t="str">
        <f t="shared" si="22"/>
        <v>Jan2025</v>
      </c>
      <c r="C383" s="12" t="str">
        <f t="shared" si="23"/>
        <v>Thursday</v>
      </c>
      <c r="D383" s="13">
        <v>45659</v>
      </c>
      <c r="E383" s="14">
        <v>23</v>
      </c>
      <c r="F383" s="12">
        <v>10752952612</v>
      </c>
      <c r="G383" s="14" t="s">
        <v>3</v>
      </c>
      <c r="H383" s="14" t="s">
        <v>21</v>
      </c>
      <c r="I383" s="16" t="s">
        <v>16</v>
      </c>
      <c r="J383" s="14" t="str">
        <f t="shared" ca="1" si="20"/>
        <v>No</v>
      </c>
    </row>
    <row r="384" spans="1:10" x14ac:dyDescent="0.35">
      <c r="A384" s="12">
        <f t="shared" si="21"/>
        <v>1</v>
      </c>
      <c r="B384" s="12" t="str">
        <f t="shared" si="22"/>
        <v>Jan2025</v>
      </c>
      <c r="C384" s="12" t="str">
        <f t="shared" si="23"/>
        <v>Thursday</v>
      </c>
      <c r="D384" s="13">
        <v>45659</v>
      </c>
      <c r="E384" s="14">
        <v>24</v>
      </c>
      <c r="F384" s="12">
        <v>10764054762</v>
      </c>
      <c r="G384" s="14" t="s">
        <v>4</v>
      </c>
      <c r="H384" s="14" t="s">
        <v>21</v>
      </c>
      <c r="I384" s="16" t="s">
        <v>76</v>
      </c>
      <c r="J384" s="14" t="str">
        <f t="shared" ca="1" si="20"/>
        <v>No</v>
      </c>
    </row>
    <row r="385" spans="1:10" x14ac:dyDescent="0.35">
      <c r="A385" s="12">
        <f t="shared" si="21"/>
        <v>1</v>
      </c>
      <c r="B385" s="12" t="str">
        <f t="shared" si="22"/>
        <v>Jan2025</v>
      </c>
      <c r="C385" s="12" t="str">
        <f t="shared" si="23"/>
        <v>Thursday</v>
      </c>
      <c r="D385" s="13">
        <v>45659</v>
      </c>
      <c r="E385" s="14">
        <v>25</v>
      </c>
      <c r="F385" s="12">
        <v>10763221282</v>
      </c>
      <c r="G385" s="14" t="s">
        <v>4</v>
      </c>
      <c r="H385" s="14" t="s">
        <v>11</v>
      </c>
      <c r="I385" s="16" t="s">
        <v>92</v>
      </c>
      <c r="J385" s="14" t="str">
        <f t="shared" ca="1" si="20"/>
        <v>Yes</v>
      </c>
    </row>
    <row r="386" spans="1:10" x14ac:dyDescent="0.35">
      <c r="A386" s="12">
        <f t="shared" si="21"/>
        <v>6</v>
      </c>
      <c r="B386" s="12" t="str">
        <f t="shared" si="22"/>
        <v>Feb2025</v>
      </c>
      <c r="C386" s="12" t="str">
        <f t="shared" si="23"/>
        <v>Tuesday</v>
      </c>
      <c r="D386" s="13">
        <v>45692</v>
      </c>
      <c r="E386" s="14">
        <v>1</v>
      </c>
      <c r="F386" s="12">
        <v>10769593002</v>
      </c>
      <c r="G386" s="14" t="s">
        <v>3</v>
      </c>
      <c r="H386" s="14" t="s">
        <v>11</v>
      </c>
      <c r="I386" s="16" t="s">
        <v>42</v>
      </c>
      <c r="J386" s="14" t="str">
        <f t="shared" ref="J386:J449" ca="1" si="24">IF(RAND()&lt;0.2,"Yes","No")</f>
        <v>No</v>
      </c>
    </row>
    <row r="387" spans="1:10" x14ac:dyDescent="0.35">
      <c r="A387" s="12">
        <f t="shared" ref="A387:A450" si="25">WEEKNUM(D387)</f>
        <v>14</v>
      </c>
      <c r="B387" s="12" t="str">
        <f t="shared" ref="B387:B450" si="26">TEXT(D387,"MMMYYYY")</f>
        <v>Apr2025</v>
      </c>
      <c r="C387" s="12" t="str">
        <f t="shared" ref="C387:C450" si="27">TEXT(D387,"dddd")</f>
        <v>Wednesday</v>
      </c>
      <c r="D387" s="13">
        <v>45749</v>
      </c>
      <c r="E387" s="14">
        <v>2</v>
      </c>
      <c r="F387" s="12">
        <v>10770686272</v>
      </c>
      <c r="G387" s="14" t="s">
        <v>7</v>
      </c>
      <c r="H387" s="14" t="s">
        <v>21</v>
      </c>
      <c r="I387" s="16" t="s">
        <v>58</v>
      </c>
      <c r="J387" s="14" t="str">
        <f t="shared" ca="1" si="24"/>
        <v>Yes</v>
      </c>
    </row>
    <row r="388" spans="1:10" x14ac:dyDescent="0.35">
      <c r="A388" s="12">
        <f t="shared" si="25"/>
        <v>14</v>
      </c>
      <c r="B388" s="12" t="str">
        <f t="shared" si="26"/>
        <v>Apr2025</v>
      </c>
      <c r="C388" s="12" t="str">
        <f t="shared" si="27"/>
        <v>Wednesday</v>
      </c>
      <c r="D388" s="13">
        <v>45749</v>
      </c>
      <c r="E388" s="14">
        <v>3</v>
      </c>
      <c r="F388" s="12">
        <v>10769491162</v>
      </c>
      <c r="G388" s="14" t="s">
        <v>4</v>
      </c>
      <c r="H388" s="14" t="s">
        <v>11</v>
      </c>
      <c r="I388" s="16" t="s">
        <v>13</v>
      </c>
      <c r="J388" s="14" t="str">
        <f t="shared" ca="1" si="24"/>
        <v>No</v>
      </c>
    </row>
    <row r="389" spans="1:10" x14ac:dyDescent="0.35">
      <c r="A389" s="12">
        <f t="shared" si="25"/>
        <v>14</v>
      </c>
      <c r="B389" s="12" t="str">
        <f t="shared" si="26"/>
        <v>Apr2025</v>
      </c>
      <c r="C389" s="12" t="str">
        <f t="shared" si="27"/>
        <v>Wednesday</v>
      </c>
      <c r="D389" s="13">
        <v>45749</v>
      </c>
      <c r="E389" s="14">
        <v>4</v>
      </c>
      <c r="F389" s="12">
        <v>10732804732</v>
      </c>
      <c r="G389" s="14" t="s">
        <v>3</v>
      </c>
      <c r="H389" s="14" t="s">
        <v>11</v>
      </c>
      <c r="I389" s="16" t="s">
        <v>16</v>
      </c>
      <c r="J389" s="14" t="str">
        <f t="shared" ca="1" si="24"/>
        <v>No</v>
      </c>
    </row>
    <row r="390" spans="1:10" x14ac:dyDescent="0.35">
      <c r="A390" s="12">
        <f t="shared" si="25"/>
        <v>14</v>
      </c>
      <c r="B390" s="12" t="str">
        <f t="shared" si="26"/>
        <v>Apr2025</v>
      </c>
      <c r="C390" s="12" t="str">
        <f t="shared" si="27"/>
        <v>Wednesday</v>
      </c>
      <c r="D390" s="13">
        <v>45749</v>
      </c>
      <c r="E390" s="14">
        <v>5</v>
      </c>
      <c r="F390" s="12">
        <v>10736897972</v>
      </c>
      <c r="G390" s="14" t="s">
        <v>4</v>
      </c>
      <c r="H390" s="14" t="s">
        <v>21</v>
      </c>
      <c r="I390" s="16" t="s">
        <v>24</v>
      </c>
      <c r="J390" s="14" t="str">
        <f t="shared" ca="1" si="24"/>
        <v>No</v>
      </c>
    </row>
    <row r="391" spans="1:10" x14ac:dyDescent="0.35">
      <c r="A391" s="12">
        <f t="shared" si="25"/>
        <v>14</v>
      </c>
      <c r="B391" s="12" t="str">
        <f t="shared" si="26"/>
        <v>Apr2025</v>
      </c>
      <c r="C391" s="12" t="str">
        <f t="shared" si="27"/>
        <v>Wednesday</v>
      </c>
      <c r="D391" s="13">
        <v>45749</v>
      </c>
      <c r="E391" s="14">
        <v>6</v>
      </c>
      <c r="F391" s="12">
        <v>10770766752</v>
      </c>
      <c r="G391" s="14" t="s">
        <v>4</v>
      </c>
      <c r="H391" s="14" t="s">
        <v>61</v>
      </c>
      <c r="I391" s="16" t="s">
        <v>171</v>
      </c>
      <c r="J391" s="14" t="str">
        <f t="shared" ca="1" si="24"/>
        <v>Yes</v>
      </c>
    </row>
    <row r="392" spans="1:10" x14ac:dyDescent="0.35">
      <c r="A392" s="12">
        <f t="shared" si="25"/>
        <v>14</v>
      </c>
      <c r="B392" s="12" t="str">
        <f t="shared" si="26"/>
        <v>Apr2025</v>
      </c>
      <c r="C392" s="12" t="str">
        <f t="shared" si="27"/>
        <v>Wednesday</v>
      </c>
      <c r="D392" s="13">
        <v>45749</v>
      </c>
      <c r="E392" s="14">
        <v>7</v>
      </c>
      <c r="F392" s="12">
        <v>10770219172</v>
      </c>
      <c r="G392" s="14" t="s">
        <v>7</v>
      </c>
      <c r="H392" s="14" t="s">
        <v>21</v>
      </c>
      <c r="I392" s="16" t="s">
        <v>58</v>
      </c>
      <c r="J392" s="14" t="str">
        <f t="shared" ca="1" si="24"/>
        <v>No</v>
      </c>
    </row>
    <row r="393" spans="1:10" x14ac:dyDescent="0.35">
      <c r="A393" s="12">
        <f t="shared" si="25"/>
        <v>14</v>
      </c>
      <c r="B393" s="12" t="str">
        <f t="shared" si="26"/>
        <v>Apr2025</v>
      </c>
      <c r="C393" s="12" t="str">
        <f t="shared" si="27"/>
        <v>Wednesday</v>
      </c>
      <c r="D393" s="13">
        <v>45749</v>
      </c>
      <c r="E393" s="14">
        <v>8</v>
      </c>
      <c r="F393" s="12">
        <v>10770824282</v>
      </c>
      <c r="G393" s="14" t="s">
        <v>4</v>
      </c>
      <c r="H393" s="14" t="s">
        <v>11</v>
      </c>
      <c r="I393" s="16" t="s">
        <v>92</v>
      </c>
      <c r="J393" s="14" t="str">
        <f t="shared" ca="1" si="24"/>
        <v>No</v>
      </c>
    </row>
    <row r="394" spans="1:10" x14ac:dyDescent="0.35">
      <c r="A394" s="12">
        <f t="shared" si="25"/>
        <v>14</v>
      </c>
      <c r="B394" s="12" t="str">
        <f t="shared" si="26"/>
        <v>Apr2025</v>
      </c>
      <c r="C394" s="12" t="str">
        <f t="shared" si="27"/>
        <v>Wednesday</v>
      </c>
      <c r="D394" s="13">
        <v>45749</v>
      </c>
      <c r="E394" s="14">
        <v>9</v>
      </c>
      <c r="F394" s="12">
        <v>10769593002</v>
      </c>
      <c r="G394" s="14" t="s">
        <v>3</v>
      </c>
      <c r="H394" s="14" t="s">
        <v>11</v>
      </c>
      <c r="I394" s="16" t="s">
        <v>42</v>
      </c>
      <c r="J394" s="14" t="str">
        <f t="shared" ca="1" si="24"/>
        <v>Yes</v>
      </c>
    </row>
    <row r="395" spans="1:10" x14ac:dyDescent="0.35">
      <c r="A395" s="12">
        <f t="shared" si="25"/>
        <v>14</v>
      </c>
      <c r="B395" s="12" t="str">
        <f t="shared" si="26"/>
        <v>Apr2025</v>
      </c>
      <c r="C395" s="12" t="str">
        <f t="shared" si="27"/>
        <v>Wednesday</v>
      </c>
      <c r="D395" s="13">
        <v>45749</v>
      </c>
      <c r="E395" s="14">
        <v>10</v>
      </c>
      <c r="F395" s="12">
        <v>10131856552</v>
      </c>
      <c r="G395" s="14" t="s">
        <v>3</v>
      </c>
      <c r="H395" s="14" t="s">
        <v>11</v>
      </c>
      <c r="I395" s="16" t="s">
        <v>16</v>
      </c>
      <c r="J395" s="14" t="str">
        <f t="shared" ca="1" si="24"/>
        <v>No</v>
      </c>
    </row>
    <row r="396" spans="1:10" x14ac:dyDescent="0.35">
      <c r="A396" s="12">
        <f t="shared" si="25"/>
        <v>14</v>
      </c>
      <c r="B396" s="12" t="str">
        <f t="shared" si="26"/>
        <v>Apr2025</v>
      </c>
      <c r="C396" s="12" t="str">
        <f t="shared" si="27"/>
        <v>Wednesday</v>
      </c>
      <c r="D396" s="13">
        <v>45749</v>
      </c>
      <c r="E396" s="14">
        <v>11</v>
      </c>
      <c r="F396" s="12">
        <v>10770533052</v>
      </c>
      <c r="G396" s="14" t="s">
        <v>4</v>
      </c>
      <c r="H396" s="14" t="s">
        <v>11</v>
      </c>
      <c r="I396" s="16" t="s">
        <v>14</v>
      </c>
      <c r="J396" s="14" t="str">
        <f t="shared" ca="1" si="24"/>
        <v>No</v>
      </c>
    </row>
    <row r="397" spans="1:10" x14ac:dyDescent="0.35">
      <c r="A397" s="12">
        <f t="shared" si="25"/>
        <v>14</v>
      </c>
      <c r="B397" s="12" t="str">
        <f t="shared" si="26"/>
        <v>Apr2025</v>
      </c>
      <c r="C397" s="12" t="str">
        <f t="shared" si="27"/>
        <v>Wednesday</v>
      </c>
      <c r="D397" s="13">
        <v>45749</v>
      </c>
      <c r="E397" s="14">
        <v>12</v>
      </c>
      <c r="F397" s="12">
        <v>10770475092</v>
      </c>
      <c r="G397" s="14" t="s">
        <v>7</v>
      </c>
      <c r="H397" s="14" t="s">
        <v>61</v>
      </c>
      <c r="I397" s="16" t="s">
        <v>95</v>
      </c>
      <c r="J397" s="14" t="str">
        <f t="shared" ca="1" si="24"/>
        <v>No</v>
      </c>
    </row>
    <row r="398" spans="1:10" x14ac:dyDescent="0.35">
      <c r="A398" s="12">
        <f t="shared" si="25"/>
        <v>14</v>
      </c>
      <c r="B398" s="12" t="str">
        <f t="shared" si="26"/>
        <v>Apr2025</v>
      </c>
      <c r="C398" s="12" t="str">
        <f t="shared" si="27"/>
        <v>Wednesday</v>
      </c>
      <c r="D398" s="13">
        <v>45749</v>
      </c>
      <c r="E398" s="14">
        <v>13</v>
      </c>
      <c r="F398" s="12">
        <v>10770630582</v>
      </c>
      <c r="G398" s="14" t="s">
        <v>4</v>
      </c>
      <c r="H398" s="14" t="s">
        <v>61</v>
      </c>
      <c r="I398" s="16" t="s">
        <v>103</v>
      </c>
      <c r="J398" s="14" t="str">
        <f t="shared" ca="1" si="24"/>
        <v>No</v>
      </c>
    </row>
    <row r="399" spans="1:10" x14ac:dyDescent="0.35">
      <c r="A399" s="12">
        <f t="shared" si="25"/>
        <v>14</v>
      </c>
      <c r="B399" s="12" t="str">
        <f t="shared" si="26"/>
        <v>Apr2025</v>
      </c>
      <c r="C399" s="12" t="str">
        <f t="shared" si="27"/>
        <v>Wednesday</v>
      </c>
      <c r="D399" s="13">
        <v>45749</v>
      </c>
      <c r="E399" s="14">
        <v>14</v>
      </c>
      <c r="F399" s="12">
        <v>10770991732</v>
      </c>
      <c r="G399" s="14" t="s">
        <v>4</v>
      </c>
      <c r="H399" s="14" t="s">
        <v>21</v>
      </c>
      <c r="I399" s="16" t="s">
        <v>25</v>
      </c>
      <c r="J399" s="14" t="str">
        <f t="shared" ca="1" si="24"/>
        <v>No</v>
      </c>
    </row>
    <row r="400" spans="1:10" x14ac:dyDescent="0.35">
      <c r="A400" s="12">
        <f t="shared" si="25"/>
        <v>14</v>
      </c>
      <c r="B400" s="12" t="str">
        <f t="shared" si="26"/>
        <v>Apr2025</v>
      </c>
      <c r="C400" s="12" t="str">
        <f t="shared" si="27"/>
        <v>Wednesday</v>
      </c>
      <c r="D400" s="13">
        <v>45749</v>
      </c>
      <c r="E400" s="14">
        <v>15</v>
      </c>
      <c r="F400" s="12">
        <v>10771056142</v>
      </c>
      <c r="G400" s="14" t="s">
        <v>4</v>
      </c>
      <c r="H400" s="14" t="s">
        <v>21</v>
      </c>
      <c r="I400" s="16" t="s">
        <v>100</v>
      </c>
      <c r="J400" s="14" t="str">
        <f t="shared" ca="1" si="24"/>
        <v>No</v>
      </c>
    </row>
    <row r="401" spans="1:10" x14ac:dyDescent="0.35">
      <c r="A401" s="12">
        <f t="shared" si="25"/>
        <v>14</v>
      </c>
      <c r="B401" s="12" t="str">
        <f t="shared" si="26"/>
        <v>Apr2025</v>
      </c>
      <c r="C401" s="12" t="str">
        <f t="shared" si="27"/>
        <v>Wednesday</v>
      </c>
      <c r="D401" s="13">
        <v>45749</v>
      </c>
      <c r="E401" s="14">
        <v>16</v>
      </c>
      <c r="F401" s="12">
        <v>10770823102</v>
      </c>
      <c r="G401" s="14" t="s">
        <v>7</v>
      </c>
      <c r="H401" s="14" t="s">
        <v>21</v>
      </c>
      <c r="I401" s="16" t="s">
        <v>58</v>
      </c>
      <c r="J401" s="14" t="str">
        <f t="shared" ca="1" si="24"/>
        <v>No</v>
      </c>
    </row>
    <row r="402" spans="1:10" x14ac:dyDescent="0.35">
      <c r="A402" s="12">
        <f t="shared" si="25"/>
        <v>14</v>
      </c>
      <c r="B402" s="12" t="str">
        <f t="shared" si="26"/>
        <v>Apr2025</v>
      </c>
      <c r="C402" s="12" t="str">
        <f t="shared" si="27"/>
        <v>Wednesday</v>
      </c>
      <c r="D402" s="13">
        <v>45749</v>
      </c>
      <c r="E402" s="14">
        <v>17</v>
      </c>
      <c r="F402" s="12">
        <v>10755686462</v>
      </c>
      <c r="G402" s="14" t="s">
        <v>4</v>
      </c>
      <c r="H402" s="14" t="s">
        <v>11</v>
      </c>
      <c r="I402" s="16" t="s">
        <v>172</v>
      </c>
      <c r="J402" s="14" t="str">
        <f t="shared" ca="1" si="24"/>
        <v>No</v>
      </c>
    </row>
    <row r="403" spans="1:10" x14ac:dyDescent="0.35">
      <c r="A403" s="12">
        <f t="shared" si="25"/>
        <v>14</v>
      </c>
      <c r="B403" s="12" t="str">
        <f t="shared" si="26"/>
        <v>Apr2025</v>
      </c>
      <c r="C403" s="12" t="str">
        <f t="shared" si="27"/>
        <v>Wednesday</v>
      </c>
      <c r="D403" s="13">
        <v>45749</v>
      </c>
      <c r="E403" s="14">
        <v>18</v>
      </c>
      <c r="F403" s="12">
        <v>10733659912</v>
      </c>
      <c r="G403" s="14" t="s">
        <v>5</v>
      </c>
      <c r="H403" s="14" t="s">
        <v>21</v>
      </c>
      <c r="I403" s="16" t="s">
        <v>36</v>
      </c>
      <c r="J403" s="14" t="str">
        <f t="shared" ca="1" si="24"/>
        <v>No</v>
      </c>
    </row>
    <row r="404" spans="1:10" x14ac:dyDescent="0.35">
      <c r="A404" s="12">
        <f t="shared" si="25"/>
        <v>14</v>
      </c>
      <c r="B404" s="12" t="str">
        <f t="shared" si="26"/>
        <v>Apr2025</v>
      </c>
      <c r="C404" s="12" t="str">
        <f t="shared" si="27"/>
        <v>Wednesday</v>
      </c>
      <c r="D404" s="13">
        <v>45749</v>
      </c>
      <c r="E404" s="14">
        <v>19</v>
      </c>
      <c r="F404" s="12">
        <v>10770840192</v>
      </c>
      <c r="G404" s="14" t="s">
        <v>5</v>
      </c>
      <c r="H404" s="14" t="s">
        <v>11</v>
      </c>
      <c r="I404" s="16" t="s">
        <v>19</v>
      </c>
      <c r="J404" s="14" t="str">
        <f t="shared" ca="1" si="24"/>
        <v>No</v>
      </c>
    </row>
    <row r="405" spans="1:10" x14ac:dyDescent="0.35">
      <c r="A405" s="12">
        <f t="shared" si="25"/>
        <v>6</v>
      </c>
      <c r="B405" s="12" t="str">
        <f t="shared" si="26"/>
        <v>Feb2025</v>
      </c>
      <c r="C405" s="12" t="str">
        <f t="shared" si="27"/>
        <v>Wednesday</v>
      </c>
      <c r="D405" s="13">
        <v>45693</v>
      </c>
      <c r="E405" s="14">
        <v>1</v>
      </c>
      <c r="F405" s="12">
        <v>10773544392</v>
      </c>
      <c r="G405" s="14" t="s">
        <v>4</v>
      </c>
      <c r="H405" s="14" t="s">
        <v>11</v>
      </c>
      <c r="I405" s="16" t="s">
        <v>92</v>
      </c>
      <c r="J405" s="14" t="str">
        <f t="shared" ca="1" si="24"/>
        <v>No</v>
      </c>
    </row>
    <row r="406" spans="1:10" x14ac:dyDescent="0.35">
      <c r="A406" s="12">
        <f t="shared" si="25"/>
        <v>18</v>
      </c>
      <c r="B406" s="12" t="str">
        <f t="shared" si="26"/>
        <v>May2025</v>
      </c>
      <c r="C406" s="12" t="str">
        <f t="shared" si="27"/>
        <v>Friday</v>
      </c>
      <c r="D406" s="13">
        <v>45779</v>
      </c>
      <c r="E406" s="14">
        <v>2</v>
      </c>
      <c r="F406" s="12">
        <v>10769720932</v>
      </c>
      <c r="G406" s="14" t="s">
        <v>4</v>
      </c>
      <c r="H406" s="14" t="s">
        <v>21</v>
      </c>
      <c r="I406" s="16" t="s">
        <v>31</v>
      </c>
      <c r="J406" s="14" t="str">
        <f t="shared" ca="1" si="24"/>
        <v>No</v>
      </c>
    </row>
    <row r="407" spans="1:10" x14ac:dyDescent="0.35">
      <c r="A407" s="12">
        <f t="shared" si="25"/>
        <v>18</v>
      </c>
      <c r="B407" s="12" t="str">
        <f t="shared" si="26"/>
        <v>May2025</v>
      </c>
      <c r="C407" s="12" t="str">
        <f t="shared" si="27"/>
        <v>Friday</v>
      </c>
      <c r="D407" s="13">
        <v>45779</v>
      </c>
      <c r="E407" s="14">
        <v>3</v>
      </c>
      <c r="F407" s="12">
        <v>10774238352</v>
      </c>
      <c r="G407" s="14" t="s">
        <v>3</v>
      </c>
      <c r="H407" s="14" t="s">
        <v>11</v>
      </c>
      <c r="I407" s="16" t="s">
        <v>64</v>
      </c>
      <c r="J407" s="14" t="str">
        <f t="shared" ca="1" si="24"/>
        <v>No</v>
      </c>
    </row>
    <row r="408" spans="1:10" x14ac:dyDescent="0.35">
      <c r="A408" s="12">
        <f t="shared" si="25"/>
        <v>18</v>
      </c>
      <c r="B408" s="12" t="str">
        <f t="shared" si="26"/>
        <v>May2025</v>
      </c>
      <c r="C408" s="12" t="str">
        <f t="shared" si="27"/>
        <v>Friday</v>
      </c>
      <c r="D408" s="13">
        <v>45779</v>
      </c>
      <c r="E408" s="14">
        <v>4</v>
      </c>
      <c r="F408" s="12">
        <v>10747694552</v>
      </c>
      <c r="G408" s="14" t="s">
        <v>5</v>
      </c>
      <c r="H408" s="14" t="s">
        <v>21</v>
      </c>
      <c r="I408" s="16" t="s">
        <v>51</v>
      </c>
      <c r="J408" s="14" t="str">
        <f t="shared" ca="1" si="24"/>
        <v>No</v>
      </c>
    </row>
    <row r="409" spans="1:10" x14ac:dyDescent="0.35">
      <c r="A409" s="12">
        <f t="shared" si="25"/>
        <v>18</v>
      </c>
      <c r="B409" s="12" t="str">
        <f t="shared" si="26"/>
        <v>May2025</v>
      </c>
      <c r="C409" s="12" t="str">
        <f t="shared" si="27"/>
        <v>Friday</v>
      </c>
      <c r="D409" s="13">
        <v>45779</v>
      </c>
      <c r="E409" s="14">
        <v>5</v>
      </c>
      <c r="F409" s="12">
        <v>10747699962</v>
      </c>
      <c r="G409" s="14" t="s">
        <v>5</v>
      </c>
      <c r="H409" s="14" t="s">
        <v>21</v>
      </c>
      <c r="I409" s="16" t="s">
        <v>51</v>
      </c>
      <c r="J409" s="14" t="str">
        <f t="shared" ca="1" si="24"/>
        <v>Yes</v>
      </c>
    </row>
    <row r="410" spans="1:10" s="1" customFormat="1" ht="14.5" customHeight="1" x14ac:dyDescent="0.35">
      <c r="A410" s="12">
        <f t="shared" si="25"/>
        <v>18</v>
      </c>
      <c r="B410" s="12" t="str">
        <f t="shared" si="26"/>
        <v>May2025</v>
      </c>
      <c r="C410" s="12" t="str">
        <f t="shared" si="27"/>
        <v>Friday</v>
      </c>
      <c r="D410" s="20">
        <v>45779</v>
      </c>
      <c r="E410" s="18">
        <v>6</v>
      </c>
      <c r="F410" s="19">
        <v>10774469552</v>
      </c>
      <c r="G410" s="18" t="s">
        <v>4</v>
      </c>
      <c r="H410" s="18" t="s">
        <v>61</v>
      </c>
      <c r="I410" s="17" t="s">
        <v>173</v>
      </c>
      <c r="J410" s="14" t="str">
        <f t="shared" ca="1" si="24"/>
        <v>Yes</v>
      </c>
    </row>
    <row r="411" spans="1:10" s="1" customFormat="1" ht="14.5" customHeight="1" x14ac:dyDescent="0.35">
      <c r="A411" s="12">
        <f t="shared" si="25"/>
        <v>18</v>
      </c>
      <c r="B411" s="12" t="str">
        <f t="shared" si="26"/>
        <v>May2025</v>
      </c>
      <c r="C411" s="12" t="str">
        <f t="shared" si="27"/>
        <v>Friday</v>
      </c>
      <c r="D411" s="20">
        <v>45779</v>
      </c>
      <c r="E411" s="18">
        <v>7</v>
      </c>
      <c r="F411" s="19">
        <v>10774397982</v>
      </c>
      <c r="G411" s="18" t="s">
        <v>4</v>
      </c>
      <c r="H411" s="18" t="s">
        <v>11</v>
      </c>
      <c r="I411" s="17" t="s">
        <v>174</v>
      </c>
      <c r="J411" s="14" t="str">
        <f t="shared" ca="1" si="24"/>
        <v>Yes</v>
      </c>
    </row>
    <row r="412" spans="1:10" x14ac:dyDescent="0.35">
      <c r="A412" s="12">
        <f t="shared" si="25"/>
        <v>18</v>
      </c>
      <c r="B412" s="12" t="str">
        <f t="shared" si="26"/>
        <v>May2025</v>
      </c>
      <c r="C412" s="12" t="str">
        <f t="shared" si="27"/>
        <v>Friday</v>
      </c>
      <c r="D412" s="13">
        <v>45779</v>
      </c>
      <c r="E412" s="14">
        <v>8</v>
      </c>
      <c r="F412" s="12">
        <v>10755453082</v>
      </c>
      <c r="G412" s="14" t="s">
        <v>5</v>
      </c>
      <c r="H412" s="14" t="s">
        <v>61</v>
      </c>
      <c r="I412" s="16" t="s">
        <v>175</v>
      </c>
      <c r="J412" s="14" t="str">
        <f t="shared" ca="1" si="24"/>
        <v>No</v>
      </c>
    </row>
    <row r="413" spans="1:10" x14ac:dyDescent="0.35">
      <c r="A413" s="12">
        <f t="shared" si="25"/>
        <v>18</v>
      </c>
      <c r="B413" s="12" t="str">
        <f t="shared" si="26"/>
        <v>May2025</v>
      </c>
      <c r="C413" s="12" t="str">
        <f t="shared" si="27"/>
        <v>Friday</v>
      </c>
      <c r="D413" s="13">
        <v>45779</v>
      </c>
      <c r="E413" s="14">
        <v>9</v>
      </c>
      <c r="F413" s="12">
        <v>10775141852</v>
      </c>
      <c r="G413" s="14" t="s">
        <v>4</v>
      </c>
      <c r="H413" s="14" t="s">
        <v>11</v>
      </c>
      <c r="I413" s="16" t="s">
        <v>38</v>
      </c>
      <c r="J413" s="14" t="str">
        <f t="shared" ca="1" si="24"/>
        <v>No</v>
      </c>
    </row>
    <row r="414" spans="1:10" x14ac:dyDescent="0.35">
      <c r="A414" s="12">
        <f t="shared" si="25"/>
        <v>18</v>
      </c>
      <c r="B414" s="12" t="str">
        <f t="shared" si="26"/>
        <v>May2025</v>
      </c>
      <c r="C414" s="12" t="str">
        <f t="shared" si="27"/>
        <v>Friday</v>
      </c>
      <c r="D414" s="13">
        <v>45779</v>
      </c>
      <c r="E414" s="14">
        <v>10</v>
      </c>
      <c r="F414" s="12">
        <v>10769597612</v>
      </c>
      <c r="G414" s="14" t="s">
        <v>5</v>
      </c>
      <c r="H414" s="14" t="s">
        <v>61</v>
      </c>
      <c r="I414" s="16" t="s">
        <v>93</v>
      </c>
      <c r="J414" s="14" t="str">
        <f t="shared" ca="1" si="24"/>
        <v>Yes</v>
      </c>
    </row>
    <row r="415" spans="1:10" x14ac:dyDescent="0.35">
      <c r="A415" s="12">
        <f t="shared" si="25"/>
        <v>18</v>
      </c>
      <c r="B415" s="12" t="str">
        <f t="shared" si="26"/>
        <v>May2025</v>
      </c>
      <c r="C415" s="12" t="str">
        <f t="shared" si="27"/>
        <v>Friday</v>
      </c>
      <c r="D415" s="13">
        <v>45779</v>
      </c>
      <c r="E415" s="14">
        <v>11</v>
      </c>
      <c r="F415" s="12">
        <v>10745415712</v>
      </c>
      <c r="G415" s="14" t="s">
        <v>7</v>
      </c>
      <c r="H415" s="14" t="s">
        <v>21</v>
      </c>
      <c r="I415" s="16" t="s">
        <v>82</v>
      </c>
      <c r="J415" s="14" t="str">
        <f t="shared" ca="1" si="24"/>
        <v>No</v>
      </c>
    </row>
    <row r="416" spans="1:10" x14ac:dyDescent="0.35">
      <c r="A416" s="12">
        <f t="shared" si="25"/>
        <v>18</v>
      </c>
      <c r="B416" s="12" t="str">
        <f t="shared" si="26"/>
        <v>May2025</v>
      </c>
      <c r="C416" s="12" t="str">
        <f t="shared" si="27"/>
        <v>Friday</v>
      </c>
      <c r="D416" s="13">
        <v>45779</v>
      </c>
      <c r="E416" s="14">
        <v>12</v>
      </c>
      <c r="F416" s="12">
        <v>10753084042</v>
      </c>
      <c r="G416" s="14" t="s">
        <v>5</v>
      </c>
      <c r="H416" s="14" t="s">
        <v>11</v>
      </c>
      <c r="I416" s="16" t="s">
        <v>97</v>
      </c>
      <c r="J416" s="14" t="str">
        <f t="shared" ca="1" si="24"/>
        <v>No</v>
      </c>
    </row>
    <row r="417" spans="1:10" x14ac:dyDescent="0.35">
      <c r="A417" s="12">
        <f t="shared" si="25"/>
        <v>18</v>
      </c>
      <c r="B417" s="12" t="str">
        <f t="shared" si="26"/>
        <v>May2025</v>
      </c>
      <c r="C417" s="12" t="str">
        <f t="shared" si="27"/>
        <v>Friday</v>
      </c>
      <c r="D417" s="13">
        <v>45779</v>
      </c>
      <c r="E417" s="14">
        <v>13</v>
      </c>
      <c r="F417" s="12">
        <v>10774376872</v>
      </c>
      <c r="G417" s="14" t="s">
        <v>4</v>
      </c>
      <c r="H417" s="14" t="s">
        <v>21</v>
      </c>
      <c r="I417" s="16" t="s">
        <v>33</v>
      </c>
      <c r="J417" s="14" t="str">
        <f t="shared" ca="1" si="24"/>
        <v>Yes</v>
      </c>
    </row>
    <row r="418" spans="1:10" x14ac:dyDescent="0.35">
      <c r="A418" s="12">
        <f t="shared" si="25"/>
        <v>18</v>
      </c>
      <c r="B418" s="12" t="str">
        <f t="shared" si="26"/>
        <v>May2025</v>
      </c>
      <c r="C418" s="12" t="str">
        <f t="shared" si="27"/>
        <v>Friday</v>
      </c>
      <c r="D418" s="13">
        <v>45779</v>
      </c>
      <c r="E418" s="14">
        <v>14</v>
      </c>
      <c r="F418" s="12">
        <v>10753084042</v>
      </c>
      <c r="G418" s="14" t="s">
        <v>3</v>
      </c>
      <c r="H418" s="14" t="s">
        <v>11</v>
      </c>
      <c r="I418" s="16" t="s">
        <v>34</v>
      </c>
      <c r="J418" s="14" t="str">
        <f t="shared" ca="1" si="24"/>
        <v>No</v>
      </c>
    </row>
    <row r="419" spans="1:10" x14ac:dyDescent="0.35">
      <c r="A419" s="12">
        <f t="shared" si="25"/>
        <v>18</v>
      </c>
      <c r="B419" s="12" t="str">
        <f t="shared" si="26"/>
        <v>May2025</v>
      </c>
      <c r="C419" s="12" t="str">
        <f t="shared" si="27"/>
        <v>Friday</v>
      </c>
      <c r="D419" s="13">
        <v>45779</v>
      </c>
      <c r="E419" s="14">
        <v>15</v>
      </c>
      <c r="F419" s="12">
        <v>10775169282</v>
      </c>
      <c r="G419" s="14" t="s">
        <v>4</v>
      </c>
      <c r="H419" s="14" t="s">
        <v>21</v>
      </c>
      <c r="I419" s="16" t="s">
        <v>33</v>
      </c>
      <c r="J419" s="14" t="str">
        <f t="shared" ca="1" si="24"/>
        <v>No</v>
      </c>
    </row>
    <row r="420" spans="1:10" x14ac:dyDescent="0.35">
      <c r="A420" s="12">
        <f t="shared" si="25"/>
        <v>18</v>
      </c>
      <c r="B420" s="12" t="str">
        <f t="shared" si="26"/>
        <v>May2025</v>
      </c>
      <c r="C420" s="12" t="str">
        <f t="shared" si="27"/>
        <v>Friday</v>
      </c>
      <c r="D420" s="13">
        <v>45779</v>
      </c>
      <c r="E420" s="14">
        <v>16</v>
      </c>
      <c r="F420" s="12">
        <v>10768997322</v>
      </c>
      <c r="G420" s="14" t="s">
        <v>4</v>
      </c>
      <c r="H420" s="14" t="s">
        <v>11</v>
      </c>
      <c r="I420" s="16" t="s">
        <v>92</v>
      </c>
      <c r="J420" s="14" t="str">
        <f t="shared" ca="1" si="24"/>
        <v>No</v>
      </c>
    </row>
    <row r="421" spans="1:10" x14ac:dyDescent="0.35">
      <c r="A421" s="12">
        <f t="shared" si="25"/>
        <v>18</v>
      </c>
      <c r="B421" s="12" t="str">
        <f t="shared" si="26"/>
        <v>May2025</v>
      </c>
      <c r="C421" s="12" t="str">
        <f t="shared" si="27"/>
        <v>Friday</v>
      </c>
      <c r="D421" s="13">
        <v>45779</v>
      </c>
      <c r="E421" s="14">
        <v>17</v>
      </c>
      <c r="F421" s="12">
        <v>10775534732</v>
      </c>
      <c r="G421" s="14" t="s">
        <v>4</v>
      </c>
      <c r="H421" s="14" t="s">
        <v>11</v>
      </c>
      <c r="I421" s="16" t="s">
        <v>78</v>
      </c>
      <c r="J421" s="14" t="str">
        <f t="shared" ca="1" si="24"/>
        <v>No</v>
      </c>
    </row>
    <row r="422" spans="1:10" x14ac:dyDescent="0.35">
      <c r="A422" s="12">
        <f t="shared" si="25"/>
        <v>18</v>
      </c>
      <c r="B422" s="12" t="str">
        <f t="shared" si="26"/>
        <v>May2025</v>
      </c>
      <c r="C422" s="12" t="str">
        <f t="shared" si="27"/>
        <v>Friday</v>
      </c>
      <c r="D422" s="13">
        <v>45779</v>
      </c>
      <c r="E422" s="14">
        <v>18</v>
      </c>
      <c r="F422" s="12">
        <v>10775937862</v>
      </c>
      <c r="G422" s="14" t="s">
        <v>3</v>
      </c>
      <c r="H422" s="14" t="s">
        <v>21</v>
      </c>
      <c r="I422" s="16" t="s">
        <v>16</v>
      </c>
      <c r="J422" s="14" t="str">
        <f t="shared" ca="1" si="24"/>
        <v>Yes</v>
      </c>
    </row>
    <row r="423" spans="1:10" x14ac:dyDescent="0.35">
      <c r="A423" s="12">
        <f t="shared" si="25"/>
        <v>18</v>
      </c>
      <c r="B423" s="12" t="str">
        <f t="shared" si="26"/>
        <v>May2025</v>
      </c>
      <c r="C423" s="12" t="str">
        <f t="shared" si="27"/>
        <v>Friday</v>
      </c>
      <c r="D423" s="13">
        <v>45779</v>
      </c>
      <c r="E423" s="14">
        <v>19</v>
      </c>
      <c r="F423" s="12">
        <v>10755026072</v>
      </c>
      <c r="G423" s="14" t="s">
        <v>4</v>
      </c>
      <c r="H423" s="14" t="s">
        <v>21</v>
      </c>
      <c r="I423" s="16" t="s">
        <v>24</v>
      </c>
      <c r="J423" s="14" t="str">
        <f t="shared" ca="1" si="24"/>
        <v>No</v>
      </c>
    </row>
    <row r="424" spans="1:10" x14ac:dyDescent="0.35">
      <c r="A424" s="12">
        <f t="shared" si="25"/>
        <v>18</v>
      </c>
      <c r="B424" s="12" t="str">
        <f t="shared" si="26"/>
        <v>May2025</v>
      </c>
      <c r="C424" s="12" t="str">
        <f t="shared" si="27"/>
        <v>Friday</v>
      </c>
      <c r="D424" s="13">
        <v>45779</v>
      </c>
      <c r="E424" s="14">
        <v>20</v>
      </c>
      <c r="F424" s="12">
        <v>10775707872</v>
      </c>
      <c r="G424" s="14" t="s">
        <v>4</v>
      </c>
      <c r="H424" s="14" t="s">
        <v>61</v>
      </c>
      <c r="I424" s="16" t="s">
        <v>74</v>
      </c>
      <c r="J424" s="14" t="str">
        <f t="shared" ca="1" si="24"/>
        <v>No</v>
      </c>
    </row>
    <row r="425" spans="1:10" x14ac:dyDescent="0.35">
      <c r="A425" s="12">
        <f t="shared" si="25"/>
        <v>6</v>
      </c>
      <c r="B425" s="12" t="str">
        <f t="shared" si="26"/>
        <v>Feb2025</v>
      </c>
      <c r="C425" s="12" t="str">
        <f t="shared" si="27"/>
        <v>Thursday</v>
      </c>
      <c r="D425" s="13">
        <v>45694</v>
      </c>
      <c r="E425" s="14">
        <v>1</v>
      </c>
      <c r="F425" s="12">
        <v>10775073292</v>
      </c>
      <c r="G425" s="14" t="s">
        <v>4</v>
      </c>
      <c r="H425" s="14" t="s">
        <v>21</v>
      </c>
      <c r="I425" s="16" t="s">
        <v>25</v>
      </c>
      <c r="J425" s="14" t="str">
        <f t="shared" ca="1" si="24"/>
        <v>No</v>
      </c>
    </row>
    <row r="426" spans="1:10" x14ac:dyDescent="0.35">
      <c r="A426" s="12">
        <f t="shared" si="25"/>
        <v>23</v>
      </c>
      <c r="B426" s="12" t="str">
        <f t="shared" si="26"/>
        <v>Jun2025</v>
      </c>
      <c r="C426" s="12" t="str">
        <f t="shared" si="27"/>
        <v>Monday</v>
      </c>
      <c r="D426" s="13">
        <v>45810</v>
      </c>
      <c r="E426" s="14">
        <v>2</v>
      </c>
      <c r="F426" s="12">
        <v>10781340872</v>
      </c>
      <c r="G426" s="14" t="s">
        <v>7</v>
      </c>
      <c r="H426" s="14" t="s">
        <v>61</v>
      </c>
      <c r="I426" s="16" t="s">
        <v>57</v>
      </c>
      <c r="J426" s="14" t="str">
        <f t="shared" ca="1" si="24"/>
        <v>Yes</v>
      </c>
    </row>
    <row r="427" spans="1:10" x14ac:dyDescent="0.35">
      <c r="A427" s="12">
        <f t="shared" si="25"/>
        <v>23</v>
      </c>
      <c r="B427" s="12" t="str">
        <f t="shared" si="26"/>
        <v>Jun2025</v>
      </c>
      <c r="C427" s="12" t="str">
        <f t="shared" si="27"/>
        <v>Monday</v>
      </c>
      <c r="D427" s="13">
        <v>45810</v>
      </c>
      <c r="E427" s="14">
        <v>3</v>
      </c>
      <c r="F427" s="12">
        <v>10775608952</v>
      </c>
      <c r="G427" s="14" t="s">
        <v>4</v>
      </c>
      <c r="H427" s="14" t="s">
        <v>61</v>
      </c>
      <c r="I427" s="16" t="s">
        <v>124</v>
      </c>
      <c r="J427" s="14" t="str">
        <f t="shared" ca="1" si="24"/>
        <v>No</v>
      </c>
    </row>
    <row r="428" spans="1:10" x14ac:dyDescent="0.35">
      <c r="A428" s="12">
        <f t="shared" si="25"/>
        <v>23</v>
      </c>
      <c r="B428" s="12" t="str">
        <f t="shared" si="26"/>
        <v>Jun2025</v>
      </c>
      <c r="C428" s="12" t="str">
        <f t="shared" si="27"/>
        <v>Monday</v>
      </c>
      <c r="D428" s="13">
        <v>45810</v>
      </c>
      <c r="E428" s="14">
        <v>4</v>
      </c>
      <c r="F428" s="12">
        <v>10744302952</v>
      </c>
      <c r="G428" s="14" t="s">
        <v>4</v>
      </c>
      <c r="H428" s="14" t="s">
        <v>11</v>
      </c>
      <c r="I428" s="16" t="s">
        <v>64</v>
      </c>
      <c r="J428" s="14" t="str">
        <f t="shared" ca="1" si="24"/>
        <v>No</v>
      </c>
    </row>
    <row r="429" spans="1:10" x14ac:dyDescent="0.35">
      <c r="A429" s="12">
        <f t="shared" si="25"/>
        <v>23</v>
      </c>
      <c r="B429" s="12" t="str">
        <f t="shared" si="26"/>
        <v>Jun2025</v>
      </c>
      <c r="C429" s="12" t="str">
        <f t="shared" si="27"/>
        <v>Monday</v>
      </c>
      <c r="D429" s="13">
        <v>45810</v>
      </c>
      <c r="E429" s="14">
        <v>5</v>
      </c>
      <c r="F429" s="12">
        <v>10781640462</v>
      </c>
      <c r="G429" s="14" t="s">
        <v>5</v>
      </c>
      <c r="H429" s="14" t="s">
        <v>61</v>
      </c>
      <c r="I429" s="16" t="s">
        <v>9</v>
      </c>
      <c r="J429" s="14" t="str">
        <f t="shared" ca="1" si="24"/>
        <v>No</v>
      </c>
    </row>
    <row r="430" spans="1:10" x14ac:dyDescent="0.35">
      <c r="A430" s="12">
        <f t="shared" si="25"/>
        <v>23</v>
      </c>
      <c r="B430" s="12" t="str">
        <f t="shared" si="26"/>
        <v>Jun2025</v>
      </c>
      <c r="C430" s="12" t="str">
        <f t="shared" si="27"/>
        <v>Monday</v>
      </c>
      <c r="D430" s="13">
        <v>45810</v>
      </c>
      <c r="E430" s="14">
        <v>6</v>
      </c>
      <c r="F430" s="12">
        <v>10747143202</v>
      </c>
      <c r="G430" s="14" t="s">
        <v>3</v>
      </c>
      <c r="H430" s="14" t="s">
        <v>21</v>
      </c>
      <c r="I430" s="16" t="s">
        <v>16</v>
      </c>
      <c r="J430" s="14" t="str">
        <f t="shared" ca="1" si="24"/>
        <v>No</v>
      </c>
    </row>
    <row r="431" spans="1:10" x14ac:dyDescent="0.35">
      <c r="A431" s="12">
        <f t="shared" si="25"/>
        <v>23</v>
      </c>
      <c r="B431" s="12" t="str">
        <f t="shared" si="26"/>
        <v>Jun2025</v>
      </c>
      <c r="C431" s="12" t="str">
        <f t="shared" si="27"/>
        <v>Monday</v>
      </c>
      <c r="D431" s="13">
        <v>45810</v>
      </c>
      <c r="E431" s="14">
        <v>7</v>
      </c>
      <c r="F431" s="12">
        <v>10781260592</v>
      </c>
      <c r="G431" s="14" t="s">
        <v>4</v>
      </c>
      <c r="H431" s="14" t="s">
        <v>61</v>
      </c>
      <c r="I431" s="16" t="s">
        <v>54</v>
      </c>
      <c r="J431" s="14" t="str">
        <f t="shared" ca="1" si="24"/>
        <v>No</v>
      </c>
    </row>
    <row r="432" spans="1:10" x14ac:dyDescent="0.35">
      <c r="A432" s="12">
        <f t="shared" si="25"/>
        <v>23</v>
      </c>
      <c r="B432" s="12" t="str">
        <f t="shared" si="26"/>
        <v>Jun2025</v>
      </c>
      <c r="C432" s="12" t="str">
        <f t="shared" si="27"/>
        <v>Monday</v>
      </c>
      <c r="D432" s="13">
        <v>45810</v>
      </c>
      <c r="E432" s="14">
        <v>8</v>
      </c>
      <c r="F432" s="12">
        <v>10782295412</v>
      </c>
      <c r="G432" s="14" t="s">
        <v>4</v>
      </c>
      <c r="H432" s="14" t="s">
        <v>21</v>
      </c>
      <c r="I432" s="16" t="s">
        <v>24</v>
      </c>
      <c r="J432" s="14" t="str">
        <f t="shared" ca="1" si="24"/>
        <v>Yes</v>
      </c>
    </row>
    <row r="433" spans="1:10" x14ac:dyDescent="0.35">
      <c r="A433" s="12">
        <f t="shared" si="25"/>
        <v>23</v>
      </c>
      <c r="B433" s="12" t="str">
        <f t="shared" si="26"/>
        <v>Jun2025</v>
      </c>
      <c r="C433" s="12" t="str">
        <f t="shared" si="27"/>
        <v>Monday</v>
      </c>
      <c r="D433" s="13">
        <v>45810</v>
      </c>
      <c r="E433" s="14">
        <v>9</v>
      </c>
      <c r="F433" s="12">
        <v>10585817742</v>
      </c>
      <c r="G433" s="14" t="s">
        <v>10</v>
      </c>
      <c r="H433" s="14" t="s">
        <v>61</v>
      </c>
      <c r="I433" s="16" t="s">
        <v>9</v>
      </c>
      <c r="J433" s="14" t="str">
        <f t="shared" ca="1" si="24"/>
        <v>Yes</v>
      </c>
    </row>
    <row r="434" spans="1:10" x14ac:dyDescent="0.35">
      <c r="A434" s="12">
        <f t="shared" si="25"/>
        <v>23</v>
      </c>
      <c r="B434" s="12" t="str">
        <f t="shared" si="26"/>
        <v>Jun2025</v>
      </c>
      <c r="C434" s="12" t="str">
        <f t="shared" si="27"/>
        <v>Monday</v>
      </c>
      <c r="D434" s="13">
        <v>45810</v>
      </c>
      <c r="E434" s="14">
        <v>10</v>
      </c>
      <c r="F434" s="12">
        <v>10748023802</v>
      </c>
      <c r="G434" s="14" t="s">
        <v>5</v>
      </c>
      <c r="H434" s="14" t="s">
        <v>21</v>
      </c>
      <c r="I434" s="16" t="s">
        <v>51</v>
      </c>
      <c r="J434" s="14" t="str">
        <f t="shared" ca="1" si="24"/>
        <v>No</v>
      </c>
    </row>
    <row r="435" spans="1:10" x14ac:dyDescent="0.35">
      <c r="A435" s="12">
        <f t="shared" si="25"/>
        <v>23</v>
      </c>
      <c r="B435" s="12" t="str">
        <f t="shared" si="26"/>
        <v>Jun2025</v>
      </c>
      <c r="C435" s="12" t="str">
        <f t="shared" si="27"/>
        <v>Monday</v>
      </c>
      <c r="D435" s="13">
        <v>45810</v>
      </c>
      <c r="E435" s="14">
        <v>11</v>
      </c>
      <c r="F435" s="12">
        <v>10782308022</v>
      </c>
      <c r="G435" s="14" t="s">
        <v>4</v>
      </c>
      <c r="H435" s="14" t="s">
        <v>61</v>
      </c>
      <c r="I435" s="16" t="s">
        <v>94</v>
      </c>
      <c r="J435" s="14" t="str">
        <f t="shared" ca="1" si="24"/>
        <v>No</v>
      </c>
    </row>
    <row r="436" spans="1:10" x14ac:dyDescent="0.35">
      <c r="A436" s="12">
        <f t="shared" si="25"/>
        <v>23</v>
      </c>
      <c r="B436" s="12" t="str">
        <f t="shared" si="26"/>
        <v>Jun2025</v>
      </c>
      <c r="C436" s="12" t="str">
        <f t="shared" si="27"/>
        <v>Monday</v>
      </c>
      <c r="D436" s="13">
        <v>45810</v>
      </c>
      <c r="E436" s="14">
        <v>12</v>
      </c>
      <c r="F436" s="12">
        <v>10779804042</v>
      </c>
      <c r="G436" s="14" t="s">
        <v>4</v>
      </c>
      <c r="H436" s="14" t="s">
        <v>21</v>
      </c>
      <c r="I436" s="16" t="s">
        <v>76</v>
      </c>
      <c r="J436" s="14" t="str">
        <f t="shared" ca="1" si="24"/>
        <v>Yes</v>
      </c>
    </row>
    <row r="437" spans="1:10" x14ac:dyDescent="0.35">
      <c r="A437" s="12">
        <f t="shared" si="25"/>
        <v>23</v>
      </c>
      <c r="B437" s="12" t="str">
        <f t="shared" si="26"/>
        <v>Jun2025</v>
      </c>
      <c r="C437" s="12" t="str">
        <f t="shared" si="27"/>
        <v>Monday</v>
      </c>
      <c r="D437" s="13">
        <v>45810</v>
      </c>
      <c r="E437" s="14">
        <v>13</v>
      </c>
      <c r="F437" s="12">
        <v>10781085532</v>
      </c>
      <c r="G437" s="14" t="s">
        <v>4</v>
      </c>
      <c r="H437" s="14" t="s">
        <v>61</v>
      </c>
      <c r="I437" s="16" t="s">
        <v>176</v>
      </c>
      <c r="J437" s="14" t="str">
        <f t="shared" ca="1" si="24"/>
        <v>No</v>
      </c>
    </row>
    <row r="438" spans="1:10" x14ac:dyDescent="0.35">
      <c r="A438" s="12">
        <f t="shared" si="25"/>
        <v>23</v>
      </c>
      <c r="B438" s="12" t="str">
        <f t="shared" si="26"/>
        <v>Jun2025</v>
      </c>
      <c r="C438" s="12" t="str">
        <f t="shared" si="27"/>
        <v>Monday</v>
      </c>
      <c r="D438" s="13">
        <v>45810</v>
      </c>
      <c r="E438" s="14">
        <v>14</v>
      </c>
      <c r="F438" s="12">
        <v>10781640462</v>
      </c>
      <c r="G438" s="14" t="s">
        <v>4</v>
      </c>
      <c r="H438" s="14" t="s">
        <v>61</v>
      </c>
      <c r="I438" s="16" t="s">
        <v>143</v>
      </c>
      <c r="J438" s="14" t="str">
        <f t="shared" ca="1" si="24"/>
        <v>No</v>
      </c>
    </row>
    <row r="439" spans="1:10" x14ac:dyDescent="0.35">
      <c r="A439" s="12">
        <f t="shared" si="25"/>
        <v>23</v>
      </c>
      <c r="B439" s="12" t="str">
        <f t="shared" si="26"/>
        <v>Jun2025</v>
      </c>
      <c r="C439" s="12" t="str">
        <f t="shared" si="27"/>
        <v>Monday</v>
      </c>
      <c r="D439" s="13">
        <v>45810</v>
      </c>
      <c r="E439" s="14">
        <v>15</v>
      </c>
      <c r="F439" s="12">
        <v>10735682882</v>
      </c>
      <c r="G439" s="14" t="s">
        <v>3</v>
      </c>
      <c r="H439" s="14" t="s">
        <v>11</v>
      </c>
      <c r="I439" s="16" t="s">
        <v>64</v>
      </c>
      <c r="J439" s="14" t="str">
        <f t="shared" ca="1" si="24"/>
        <v>Yes</v>
      </c>
    </row>
    <row r="440" spans="1:10" x14ac:dyDescent="0.35">
      <c r="A440" s="12">
        <f t="shared" si="25"/>
        <v>23</v>
      </c>
      <c r="B440" s="12" t="str">
        <f t="shared" si="26"/>
        <v>Jun2025</v>
      </c>
      <c r="C440" s="12" t="str">
        <f t="shared" si="27"/>
        <v>Monday</v>
      </c>
      <c r="D440" s="13">
        <v>45810</v>
      </c>
      <c r="E440" s="14">
        <v>16</v>
      </c>
      <c r="F440" s="12">
        <v>10781660392</v>
      </c>
      <c r="G440" s="14" t="s">
        <v>3</v>
      </c>
      <c r="H440" s="14" t="s">
        <v>11</v>
      </c>
      <c r="I440" s="16" t="s">
        <v>177</v>
      </c>
      <c r="J440" s="14" t="str">
        <f t="shared" ca="1" si="24"/>
        <v>Yes</v>
      </c>
    </row>
    <row r="441" spans="1:10" x14ac:dyDescent="0.35">
      <c r="A441" s="12">
        <f t="shared" si="25"/>
        <v>23</v>
      </c>
      <c r="B441" s="12" t="str">
        <f t="shared" si="26"/>
        <v>Jun2025</v>
      </c>
      <c r="C441" s="12" t="str">
        <f t="shared" si="27"/>
        <v>Monday</v>
      </c>
      <c r="D441" s="13">
        <v>45810</v>
      </c>
      <c r="E441" s="14">
        <v>17</v>
      </c>
      <c r="F441" s="12">
        <v>10774376872</v>
      </c>
      <c r="G441" s="14" t="s">
        <v>7</v>
      </c>
      <c r="H441" s="14" t="s">
        <v>21</v>
      </c>
      <c r="I441" s="16" t="s">
        <v>126</v>
      </c>
      <c r="J441" s="14" t="str">
        <f t="shared" ca="1" si="24"/>
        <v>Yes</v>
      </c>
    </row>
    <row r="442" spans="1:10" x14ac:dyDescent="0.35">
      <c r="A442" s="12">
        <f t="shared" si="25"/>
        <v>23</v>
      </c>
      <c r="B442" s="12" t="str">
        <f t="shared" si="26"/>
        <v>Jun2025</v>
      </c>
      <c r="C442" s="12" t="str">
        <f t="shared" si="27"/>
        <v>Monday</v>
      </c>
      <c r="D442" s="13">
        <v>45810</v>
      </c>
      <c r="E442" s="14">
        <v>18</v>
      </c>
      <c r="F442" s="12">
        <v>10781839152</v>
      </c>
      <c r="G442" s="14" t="s">
        <v>4</v>
      </c>
      <c r="H442" s="14" t="s">
        <v>61</v>
      </c>
      <c r="I442" s="16" t="s">
        <v>178</v>
      </c>
      <c r="J442" s="14" t="str">
        <f t="shared" ca="1" si="24"/>
        <v>No</v>
      </c>
    </row>
    <row r="443" spans="1:10" x14ac:dyDescent="0.35">
      <c r="A443" s="12">
        <f t="shared" si="25"/>
        <v>23</v>
      </c>
      <c r="B443" s="12" t="str">
        <f t="shared" si="26"/>
        <v>Jun2025</v>
      </c>
      <c r="C443" s="12" t="str">
        <f t="shared" si="27"/>
        <v>Monday</v>
      </c>
      <c r="D443" s="13">
        <v>45810</v>
      </c>
      <c r="E443" s="14">
        <v>19</v>
      </c>
      <c r="F443" s="12">
        <v>10774806572</v>
      </c>
      <c r="G443" s="14" t="s">
        <v>4</v>
      </c>
      <c r="H443" s="14" t="s">
        <v>61</v>
      </c>
      <c r="I443" s="16" t="s">
        <v>88</v>
      </c>
      <c r="J443" s="14" t="str">
        <f t="shared" ca="1" si="24"/>
        <v>Yes</v>
      </c>
    </row>
    <row r="444" spans="1:10" x14ac:dyDescent="0.35">
      <c r="A444" s="12">
        <f t="shared" si="25"/>
        <v>23</v>
      </c>
      <c r="B444" s="12" t="str">
        <f t="shared" si="26"/>
        <v>Jun2025</v>
      </c>
      <c r="C444" s="12" t="str">
        <f t="shared" si="27"/>
        <v>Monday</v>
      </c>
      <c r="D444" s="13">
        <v>45810</v>
      </c>
      <c r="E444" s="14">
        <v>20</v>
      </c>
      <c r="F444" s="12">
        <v>10783006042</v>
      </c>
      <c r="G444" s="14" t="s">
        <v>7</v>
      </c>
      <c r="H444" s="14" t="s">
        <v>11</v>
      </c>
      <c r="I444" s="16" t="s">
        <v>92</v>
      </c>
      <c r="J444" s="14" t="str">
        <f t="shared" ca="1" si="24"/>
        <v>No</v>
      </c>
    </row>
    <row r="445" spans="1:10" s="1" customFormat="1" ht="14.5" customHeight="1" x14ac:dyDescent="0.35">
      <c r="A445" s="12">
        <f t="shared" si="25"/>
        <v>23</v>
      </c>
      <c r="B445" s="12" t="str">
        <f t="shared" si="26"/>
        <v>Jun2025</v>
      </c>
      <c r="C445" s="12" t="str">
        <f t="shared" si="27"/>
        <v>Monday</v>
      </c>
      <c r="D445" s="20">
        <v>45810</v>
      </c>
      <c r="E445" s="18">
        <v>21</v>
      </c>
      <c r="F445" s="19">
        <v>10783035352</v>
      </c>
      <c r="G445" s="18" t="s">
        <v>5</v>
      </c>
      <c r="H445" s="18" t="s">
        <v>11</v>
      </c>
      <c r="I445" s="17" t="s">
        <v>179</v>
      </c>
      <c r="J445" s="14" t="str">
        <f t="shared" ca="1" si="24"/>
        <v>No</v>
      </c>
    </row>
    <row r="446" spans="1:10" x14ac:dyDescent="0.35">
      <c r="A446" s="12">
        <f t="shared" si="25"/>
        <v>23</v>
      </c>
      <c r="B446" s="12" t="str">
        <f t="shared" si="26"/>
        <v>Jun2025</v>
      </c>
      <c r="C446" s="12" t="str">
        <f t="shared" si="27"/>
        <v>Monday</v>
      </c>
      <c r="D446" s="13">
        <v>45810</v>
      </c>
      <c r="E446" s="14">
        <v>22</v>
      </c>
      <c r="F446" s="12">
        <v>10782770962</v>
      </c>
      <c r="G446" s="14" t="s">
        <v>4</v>
      </c>
      <c r="H446" s="14" t="s">
        <v>11</v>
      </c>
      <c r="I446" s="16" t="s">
        <v>92</v>
      </c>
      <c r="J446" s="14" t="str">
        <f t="shared" ca="1" si="24"/>
        <v>No</v>
      </c>
    </row>
    <row r="447" spans="1:10" x14ac:dyDescent="0.35">
      <c r="A447" s="12">
        <f t="shared" si="25"/>
        <v>23</v>
      </c>
      <c r="B447" s="12" t="str">
        <f t="shared" si="26"/>
        <v>Jun2025</v>
      </c>
      <c r="C447" s="12" t="str">
        <f t="shared" si="27"/>
        <v>Monday</v>
      </c>
      <c r="D447" s="13">
        <v>45810</v>
      </c>
      <c r="E447" s="14">
        <v>23</v>
      </c>
      <c r="F447" s="12">
        <v>10752322532</v>
      </c>
      <c r="G447" s="14" t="s">
        <v>5</v>
      </c>
      <c r="H447" s="14" t="s">
        <v>21</v>
      </c>
      <c r="I447" s="16" t="s">
        <v>51</v>
      </c>
      <c r="J447" s="14" t="str">
        <f t="shared" ca="1" si="24"/>
        <v>No</v>
      </c>
    </row>
    <row r="448" spans="1:10" x14ac:dyDescent="0.35">
      <c r="A448" s="12">
        <f t="shared" si="25"/>
        <v>23</v>
      </c>
      <c r="B448" s="12" t="str">
        <f t="shared" si="26"/>
        <v>Jun2025</v>
      </c>
      <c r="C448" s="12" t="str">
        <f t="shared" si="27"/>
        <v>Monday</v>
      </c>
      <c r="D448" s="13">
        <v>45810</v>
      </c>
      <c r="E448" s="14">
        <v>24</v>
      </c>
      <c r="F448" s="12">
        <v>10782881592</v>
      </c>
      <c r="G448" s="14" t="s">
        <v>4</v>
      </c>
      <c r="H448" s="14" t="s">
        <v>61</v>
      </c>
      <c r="I448" s="16" t="s">
        <v>69</v>
      </c>
      <c r="J448" s="14" t="str">
        <f t="shared" ca="1" si="24"/>
        <v>No</v>
      </c>
    </row>
    <row r="449" spans="1:10" x14ac:dyDescent="0.35">
      <c r="A449" s="12">
        <f t="shared" si="25"/>
        <v>6</v>
      </c>
      <c r="B449" s="12" t="str">
        <f t="shared" si="26"/>
        <v>Feb2025</v>
      </c>
      <c r="C449" s="12" t="str">
        <f t="shared" si="27"/>
        <v>Friday</v>
      </c>
      <c r="D449" s="13">
        <v>45695</v>
      </c>
      <c r="E449" s="14">
        <v>1</v>
      </c>
      <c r="F449" s="12">
        <v>10620230772</v>
      </c>
      <c r="G449" s="14" t="s">
        <v>7</v>
      </c>
      <c r="H449" s="14" t="s">
        <v>21</v>
      </c>
      <c r="I449" s="16" t="s">
        <v>11</v>
      </c>
      <c r="J449" s="14" t="str">
        <f t="shared" ca="1" si="24"/>
        <v>No</v>
      </c>
    </row>
    <row r="450" spans="1:10" x14ac:dyDescent="0.35">
      <c r="A450" s="12">
        <f t="shared" si="25"/>
        <v>27</v>
      </c>
      <c r="B450" s="12" t="str">
        <f t="shared" si="26"/>
        <v>Jul2025</v>
      </c>
      <c r="C450" s="12" t="str">
        <f t="shared" si="27"/>
        <v>Wednesday</v>
      </c>
      <c r="D450" s="13">
        <v>45840</v>
      </c>
      <c r="E450" s="14">
        <v>2</v>
      </c>
      <c r="F450" s="12">
        <v>10759247232</v>
      </c>
      <c r="G450" s="14" t="s">
        <v>5</v>
      </c>
      <c r="H450" s="14" t="s">
        <v>21</v>
      </c>
      <c r="I450" s="16" t="s">
        <v>46</v>
      </c>
      <c r="J450" s="14" t="str">
        <f t="shared" ref="J450:J513" ca="1" si="28">IF(RAND()&lt;0.2,"Yes","No")</f>
        <v>No</v>
      </c>
    </row>
    <row r="451" spans="1:10" x14ac:dyDescent="0.35">
      <c r="A451" s="12">
        <f t="shared" ref="A451:A514" si="29">WEEKNUM(D451)</f>
        <v>27</v>
      </c>
      <c r="B451" s="12" t="str">
        <f t="shared" ref="B451:B514" si="30">TEXT(D451,"MMMYYYY")</f>
        <v>Jul2025</v>
      </c>
      <c r="C451" s="12" t="str">
        <f t="shared" ref="C451:C514" si="31">TEXT(D451,"dddd")</f>
        <v>Wednesday</v>
      </c>
      <c r="D451" s="13">
        <v>45840</v>
      </c>
      <c r="E451" s="14">
        <v>3</v>
      </c>
      <c r="F451" s="12">
        <v>10783623622</v>
      </c>
      <c r="G451" s="14" t="s">
        <v>4</v>
      </c>
      <c r="H451" s="14" t="s">
        <v>11</v>
      </c>
      <c r="I451" s="16" t="s">
        <v>32</v>
      </c>
      <c r="J451" s="14" t="str">
        <f t="shared" ca="1" si="28"/>
        <v>No</v>
      </c>
    </row>
    <row r="452" spans="1:10" x14ac:dyDescent="0.35">
      <c r="A452" s="12">
        <f t="shared" si="29"/>
        <v>27</v>
      </c>
      <c r="B452" s="12" t="str">
        <f t="shared" si="30"/>
        <v>Jul2025</v>
      </c>
      <c r="C452" s="12" t="str">
        <f t="shared" si="31"/>
        <v>Wednesday</v>
      </c>
      <c r="D452" s="13">
        <v>45840</v>
      </c>
      <c r="E452" s="14">
        <v>4</v>
      </c>
      <c r="F452" s="12">
        <v>10784364072</v>
      </c>
      <c r="G452" s="14" t="s">
        <v>4</v>
      </c>
      <c r="H452" s="14" t="s">
        <v>11</v>
      </c>
      <c r="I452" s="16" t="s">
        <v>92</v>
      </c>
      <c r="J452" s="14" t="str">
        <f t="shared" ca="1" si="28"/>
        <v>No</v>
      </c>
    </row>
    <row r="453" spans="1:10" x14ac:dyDescent="0.35">
      <c r="A453" s="12">
        <f t="shared" si="29"/>
        <v>27</v>
      </c>
      <c r="B453" s="12" t="str">
        <f t="shared" si="30"/>
        <v>Jul2025</v>
      </c>
      <c r="C453" s="12" t="str">
        <f t="shared" si="31"/>
        <v>Wednesday</v>
      </c>
      <c r="D453" s="13">
        <v>45840</v>
      </c>
      <c r="E453" s="14">
        <v>5</v>
      </c>
      <c r="F453" s="12">
        <v>10778450022</v>
      </c>
      <c r="G453" s="14" t="s">
        <v>7</v>
      </c>
      <c r="H453" s="14" t="s">
        <v>11</v>
      </c>
      <c r="I453" s="16" t="s">
        <v>180</v>
      </c>
      <c r="J453" s="14" t="str">
        <f t="shared" ca="1" si="28"/>
        <v>No</v>
      </c>
    </row>
    <row r="454" spans="1:10" x14ac:dyDescent="0.35">
      <c r="A454" s="12">
        <f t="shared" si="29"/>
        <v>27</v>
      </c>
      <c r="B454" s="12" t="str">
        <f t="shared" si="30"/>
        <v>Jul2025</v>
      </c>
      <c r="C454" s="12" t="str">
        <f t="shared" si="31"/>
        <v>Wednesday</v>
      </c>
      <c r="D454" s="13">
        <v>45840</v>
      </c>
      <c r="E454" s="14">
        <v>6</v>
      </c>
      <c r="F454" s="12">
        <v>10784370772</v>
      </c>
      <c r="G454" s="14" t="s">
        <v>4</v>
      </c>
      <c r="H454" s="14" t="s">
        <v>11</v>
      </c>
      <c r="I454" s="16" t="s">
        <v>38</v>
      </c>
      <c r="J454" s="14" t="str">
        <f t="shared" ca="1" si="28"/>
        <v>Yes</v>
      </c>
    </row>
    <row r="455" spans="1:10" x14ac:dyDescent="0.35">
      <c r="A455" s="12">
        <f t="shared" si="29"/>
        <v>27</v>
      </c>
      <c r="B455" s="12" t="str">
        <f t="shared" si="30"/>
        <v>Jul2025</v>
      </c>
      <c r="C455" s="12" t="str">
        <f t="shared" si="31"/>
        <v>Wednesday</v>
      </c>
      <c r="D455" s="13">
        <v>45840</v>
      </c>
      <c r="E455" s="14">
        <v>7</v>
      </c>
      <c r="F455" s="12">
        <v>10784461302</v>
      </c>
      <c r="G455" s="14" t="s">
        <v>4</v>
      </c>
      <c r="H455" s="14" t="s">
        <v>61</v>
      </c>
      <c r="I455" s="16" t="s">
        <v>9</v>
      </c>
      <c r="J455" s="14" t="str">
        <f t="shared" ca="1" si="28"/>
        <v>Yes</v>
      </c>
    </row>
    <row r="456" spans="1:10" x14ac:dyDescent="0.35">
      <c r="A456" s="12">
        <f t="shared" si="29"/>
        <v>27</v>
      </c>
      <c r="B456" s="12" t="str">
        <f t="shared" si="30"/>
        <v>Jul2025</v>
      </c>
      <c r="C456" s="12" t="str">
        <f t="shared" si="31"/>
        <v>Wednesday</v>
      </c>
      <c r="D456" s="13">
        <v>45840</v>
      </c>
      <c r="E456" s="14">
        <v>8</v>
      </c>
      <c r="F456" s="12">
        <v>10783164162</v>
      </c>
      <c r="G456" s="14" t="s">
        <v>5</v>
      </c>
      <c r="H456" s="14" t="s">
        <v>11</v>
      </c>
      <c r="I456" s="16" t="s">
        <v>98</v>
      </c>
      <c r="J456" s="14" t="str">
        <f t="shared" ca="1" si="28"/>
        <v>No</v>
      </c>
    </row>
    <row r="457" spans="1:10" x14ac:dyDescent="0.35">
      <c r="A457" s="12">
        <f t="shared" si="29"/>
        <v>27</v>
      </c>
      <c r="B457" s="12" t="str">
        <f t="shared" si="30"/>
        <v>Jul2025</v>
      </c>
      <c r="C457" s="12" t="str">
        <f t="shared" si="31"/>
        <v>Wednesday</v>
      </c>
      <c r="D457" s="13">
        <v>45840</v>
      </c>
      <c r="E457" s="14">
        <v>9</v>
      </c>
      <c r="F457" s="12">
        <v>10784716212</v>
      </c>
      <c r="G457" s="14" t="s">
        <v>4</v>
      </c>
      <c r="H457" s="14" t="s">
        <v>11</v>
      </c>
      <c r="I457" s="16" t="s">
        <v>38</v>
      </c>
      <c r="J457" s="14" t="str">
        <f t="shared" ca="1" si="28"/>
        <v>No</v>
      </c>
    </row>
    <row r="458" spans="1:10" x14ac:dyDescent="0.35">
      <c r="A458" s="12">
        <f t="shared" si="29"/>
        <v>27</v>
      </c>
      <c r="B458" s="12" t="str">
        <f t="shared" si="30"/>
        <v>Jul2025</v>
      </c>
      <c r="C458" s="12" t="str">
        <f t="shared" si="31"/>
        <v>Wednesday</v>
      </c>
      <c r="D458" s="13">
        <v>45840</v>
      </c>
      <c r="E458" s="14">
        <v>10</v>
      </c>
      <c r="F458" s="12">
        <v>10727444522</v>
      </c>
      <c r="G458" s="14" t="s">
        <v>3</v>
      </c>
      <c r="H458" s="14" t="s">
        <v>11</v>
      </c>
      <c r="I458" s="16" t="s">
        <v>16</v>
      </c>
      <c r="J458" s="14" t="str">
        <f t="shared" ca="1" si="28"/>
        <v>No</v>
      </c>
    </row>
    <row r="459" spans="1:10" x14ac:dyDescent="0.35">
      <c r="A459" s="12">
        <f t="shared" si="29"/>
        <v>27</v>
      </c>
      <c r="B459" s="12" t="str">
        <f t="shared" si="30"/>
        <v>Jul2025</v>
      </c>
      <c r="C459" s="12" t="str">
        <f t="shared" si="31"/>
        <v>Wednesday</v>
      </c>
      <c r="D459" s="13">
        <v>45840</v>
      </c>
      <c r="E459" s="14">
        <v>11</v>
      </c>
      <c r="F459" s="12">
        <v>10772617392</v>
      </c>
      <c r="G459" s="14" t="s">
        <v>4</v>
      </c>
      <c r="H459" s="14" t="s">
        <v>21</v>
      </c>
      <c r="I459" s="16" t="s">
        <v>121</v>
      </c>
      <c r="J459" s="14" t="str">
        <f t="shared" ca="1" si="28"/>
        <v>No</v>
      </c>
    </row>
    <row r="460" spans="1:10" x14ac:dyDescent="0.35">
      <c r="A460" s="12">
        <f t="shared" si="29"/>
        <v>27</v>
      </c>
      <c r="B460" s="12" t="str">
        <f t="shared" si="30"/>
        <v>Jul2025</v>
      </c>
      <c r="C460" s="12" t="str">
        <f t="shared" si="31"/>
        <v>Wednesday</v>
      </c>
      <c r="D460" s="13">
        <v>45840</v>
      </c>
      <c r="E460" s="14">
        <v>12</v>
      </c>
      <c r="F460" s="12">
        <v>10784950812</v>
      </c>
      <c r="G460" s="14" t="s">
        <v>4</v>
      </c>
      <c r="H460" s="14" t="s">
        <v>11</v>
      </c>
      <c r="I460" s="16" t="s">
        <v>92</v>
      </c>
      <c r="J460" s="14" t="str">
        <f t="shared" ca="1" si="28"/>
        <v>No</v>
      </c>
    </row>
    <row r="461" spans="1:10" x14ac:dyDescent="0.35">
      <c r="A461" s="12">
        <f t="shared" si="29"/>
        <v>27</v>
      </c>
      <c r="B461" s="12" t="str">
        <f t="shared" si="30"/>
        <v>Jul2025</v>
      </c>
      <c r="C461" s="12" t="str">
        <f t="shared" si="31"/>
        <v>Wednesday</v>
      </c>
      <c r="D461" s="13">
        <v>45840</v>
      </c>
      <c r="E461" s="14">
        <v>13</v>
      </c>
      <c r="F461" s="12">
        <v>10771141482</v>
      </c>
      <c r="G461" s="14" t="s">
        <v>5</v>
      </c>
      <c r="H461" s="14" t="s">
        <v>11</v>
      </c>
      <c r="I461" s="16" t="s">
        <v>138</v>
      </c>
      <c r="J461" s="14" t="str">
        <f t="shared" ca="1" si="28"/>
        <v>No</v>
      </c>
    </row>
    <row r="462" spans="1:10" x14ac:dyDescent="0.35">
      <c r="A462" s="12">
        <f t="shared" si="29"/>
        <v>27</v>
      </c>
      <c r="B462" s="12" t="str">
        <f t="shared" si="30"/>
        <v>Jul2025</v>
      </c>
      <c r="C462" s="12" t="str">
        <f t="shared" si="31"/>
        <v>Wednesday</v>
      </c>
      <c r="D462" s="13">
        <v>45840</v>
      </c>
      <c r="E462" s="14">
        <v>14</v>
      </c>
      <c r="F462" s="12">
        <v>10785804742</v>
      </c>
      <c r="G462" s="14" t="s">
        <v>4</v>
      </c>
      <c r="H462" s="14" t="s">
        <v>11</v>
      </c>
      <c r="I462" s="16" t="s">
        <v>73</v>
      </c>
      <c r="J462" s="14" t="str">
        <f t="shared" ca="1" si="28"/>
        <v>No</v>
      </c>
    </row>
    <row r="463" spans="1:10" x14ac:dyDescent="0.35">
      <c r="A463" s="12">
        <f t="shared" si="29"/>
        <v>27</v>
      </c>
      <c r="B463" s="12" t="str">
        <f t="shared" si="30"/>
        <v>Jul2025</v>
      </c>
      <c r="C463" s="12" t="str">
        <f t="shared" si="31"/>
        <v>Wednesday</v>
      </c>
      <c r="D463" s="13">
        <v>45840</v>
      </c>
      <c r="E463" s="14">
        <v>15</v>
      </c>
      <c r="F463" s="12">
        <v>10668516602</v>
      </c>
      <c r="G463" s="14" t="s">
        <v>7</v>
      </c>
      <c r="H463" s="14" t="s">
        <v>11</v>
      </c>
      <c r="I463" s="16" t="s">
        <v>18</v>
      </c>
      <c r="J463" s="14" t="str">
        <f t="shared" ca="1" si="28"/>
        <v>No</v>
      </c>
    </row>
    <row r="464" spans="1:10" x14ac:dyDescent="0.35">
      <c r="A464" s="12">
        <f t="shared" si="29"/>
        <v>27</v>
      </c>
      <c r="B464" s="12" t="str">
        <f t="shared" si="30"/>
        <v>Jul2025</v>
      </c>
      <c r="C464" s="12" t="str">
        <f t="shared" si="31"/>
        <v>Wednesday</v>
      </c>
      <c r="D464" s="13">
        <v>45840</v>
      </c>
      <c r="E464" s="14">
        <v>16</v>
      </c>
      <c r="F464" s="12">
        <v>10785407152</v>
      </c>
      <c r="G464" s="14" t="s">
        <v>10</v>
      </c>
      <c r="H464" s="14" t="s">
        <v>61</v>
      </c>
      <c r="I464" s="16" t="s">
        <v>9</v>
      </c>
      <c r="J464" s="14" t="str">
        <f t="shared" ca="1" si="28"/>
        <v>No</v>
      </c>
    </row>
    <row r="465" spans="1:10" x14ac:dyDescent="0.35">
      <c r="A465" s="12">
        <f t="shared" si="29"/>
        <v>27</v>
      </c>
      <c r="B465" s="12" t="str">
        <f t="shared" si="30"/>
        <v>Jul2025</v>
      </c>
      <c r="C465" s="12" t="str">
        <f t="shared" si="31"/>
        <v>Wednesday</v>
      </c>
      <c r="D465" s="13">
        <v>45840</v>
      </c>
      <c r="E465" s="14">
        <v>17</v>
      </c>
      <c r="F465" s="12">
        <v>10771437132</v>
      </c>
      <c r="G465" s="14" t="s">
        <v>4</v>
      </c>
      <c r="H465" s="14" t="s">
        <v>11</v>
      </c>
      <c r="I465" s="16" t="s">
        <v>43</v>
      </c>
      <c r="J465" s="14" t="str">
        <f t="shared" ca="1" si="28"/>
        <v>Yes</v>
      </c>
    </row>
    <row r="466" spans="1:10" x14ac:dyDescent="0.35">
      <c r="A466" s="12">
        <f t="shared" si="29"/>
        <v>27</v>
      </c>
      <c r="B466" s="12" t="str">
        <f t="shared" si="30"/>
        <v>Jul2025</v>
      </c>
      <c r="C466" s="12" t="str">
        <f t="shared" si="31"/>
        <v>Wednesday</v>
      </c>
      <c r="D466" s="13">
        <v>45840</v>
      </c>
      <c r="E466" s="14">
        <v>18</v>
      </c>
      <c r="F466" s="12">
        <v>10781640262</v>
      </c>
      <c r="G466" s="14" t="s">
        <v>7</v>
      </c>
      <c r="H466" s="14" t="s">
        <v>11</v>
      </c>
      <c r="I466" s="16" t="s">
        <v>79</v>
      </c>
      <c r="J466" s="14" t="str">
        <f t="shared" ca="1" si="28"/>
        <v>No</v>
      </c>
    </row>
    <row r="467" spans="1:10" x14ac:dyDescent="0.35">
      <c r="A467" s="12">
        <f t="shared" si="29"/>
        <v>27</v>
      </c>
      <c r="B467" s="12" t="str">
        <f t="shared" si="30"/>
        <v>Jul2025</v>
      </c>
      <c r="C467" s="12" t="str">
        <f t="shared" si="31"/>
        <v>Wednesday</v>
      </c>
      <c r="D467" s="13">
        <v>45840</v>
      </c>
      <c r="E467" s="14">
        <v>19</v>
      </c>
      <c r="F467" s="12">
        <v>10784631642</v>
      </c>
      <c r="G467" s="14" t="s">
        <v>4</v>
      </c>
      <c r="H467" s="14" t="s">
        <v>11</v>
      </c>
      <c r="I467" s="16" t="s">
        <v>13</v>
      </c>
      <c r="J467" s="14" t="str">
        <f t="shared" ca="1" si="28"/>
        <v>No</v>
      </c>
    </row>
    <row r="468" spans="1:10" x14ac:dyDescent="0.35">
      <c r="A468" s="12">
        <f t="shared" si="29"/>
        <v>27</v>
      </c>
      <c r="B468" s="12" t="str">
        <f t="shared" si="30"/>
        <v>Jul2025</v>
      </c>
      <c r="C468" s="12" t="str">
        <f t="shared" si="31"/>
        <v>Wednesday</v>
      </c>
      <c r="D468" s="13">
        <v>45840</v>
      </c>
      <c r="E468" s="14">
        <v>20</v>
      </c>
      <c r="F468" s="12">
        <v>10783968342</v>
      </c>
      <c r="G468" s="14" t="s">
        <v>7</v>
      </c>
      <c r="H468" s="14" t="s">
        <v>11</v>
      </c>
      <c r="I468" s="16" t="s">
        <v>114</v>
      </c>
      <c r="J468" s="14" t="str">
        <f t="shared" ca="1" si="28"/>
        <v>Yes</v>
      </c>
    </row>
    <row r="469" spans="1:10" x14ac:dyDescent="0.35">
      <c r="A469" s="12">
        <f t="shared" si="29"/>
        <v>27</v>
      </c>
      <c r="B469" s="12" t="str">
        <f t="shared" si="30"/>
        <v>Jul2025</v>
      </c>
      <c r="C469" s="12" t="str">
        <f t="shared" si="31"/>
        <v>Wednesday</v>
      </c>
      <c r="D469" s="13">
        <v>45840</v>
      </c>
      <c r="E469" s="14">
        <v>21</v>
      </c>
      <c r="F469" s="12">
        <v>10786227562</v>
      </c>
      <c r="G469" s="14" t="s">
        <v>7</v>
      </c>
      <c r="H469" s="14" t="s">
        <v>11</v>
      </c>
      <c r="I469" s="16" t="s">
        <v>140</v>
      </c>
      <c r="J469" s="14" t="str">
        <f t="shared" ca="1" si="28"/>
        <v>Yes</v>
      </c>
    </row>
    <row r="470" spans="1:10" x14ac:dyDescent="0.35">
      <c r="A470" s="12">
        <f t="shared" si="29"/>
        <v>27</v>
      </c>
      <c r="B470" s="12" t="str">
        <f t="shared" si="30"/>
        <v>Jul2025</v>
      </c>
      <c r="C470" s="12" t="str">
        <f t="shared" si="31"/>
        <v>Wednesday</v>
      </c>
      <c r="D470" s="13">
        <v>45840</v>
      </c>
      <c r="E470" s="14">
        <v>22</v>
      </c>
      <c r="F470" s="12">
        <v>10749459252</v>
      </c>
      <c r="G470" s="14" t="s">
        <v>5</v>
      </c>
      <c r="H470" s="14" t="s">
        <v>21</v>
      </c>
      <c r="I470" s="16" t="s">
        <v>35</v>
      </c>
      <c r="J470" s="14" t="str">
        <f t="shared" ca="1" si="28"/>
        <v>Yes</v>
      </c>
    </row>
    <row r="471" spans="1:10" x14ac:dyDescent="0.35">
      <c r="A471" s="12">
        <f t="shared" si="29"/>
        <v>27</v>
      </c>
      <c r="B471" s="12" t="str">
        <f t="shared" si="30"/>
        <v>Jul2025</v>
      </c>
      <c r="C471" s="12" t="str">
        <f t="shared" si="31"/>
        <v>Wednesday</v>
      </c>
      <c r="D471" s="13">
        <v>45840</v>
      </c>
      <c r="E471" s="14">
        <v>23</v>
      </c>
      <c r="F471" s="12">
        <v>10784692382</v>
      </c>
      <c r="G471" s="14" t="s">
        <v>4</v>
      </c>
      <c r="H471" s="14" t="s">
        <v>11</v>
      </c>
      <c r="I471" s="16" t="s">
        <v>92</v>
      </c>
      <c r="J471" s="14" t="str">
        <f t="shared" ca="1" si="28"/>
        <v>No</v>
      </c>
    </row>
    <row r="472" spans="1:10" x14ac:dyDescent="0.35">
      <c r="A472" s="12">
        <f t="shared" si="29"/>
        <v>27</v>
      </c>
      <c r="B472" s="12" t="str">
        <f t="shared" si="30"/>
        <v>Jul2025</v>
      </c>
      <c r="C472" s="12" t="str">
        <f t="shared" si="31"/>
        <v>Wednesday</v>
      </c>
      <c r="D472" s="13">
        <v>45840</v>
      </c>
      <c r="E472" s="14">
        <v>24</v>
      </c>
      <c r="F472" s="12">
        <v>10785821512</v>
      </c>
      <c r="G472" s="14" t="s">
        <v>3</v>
      </c>
      <c r="H472" s="14" t="s">
        <v>11</v>
      </c>
      <c r="I472" s="16" t="s">
        <v>181</v>
      </c>
      <c r="J472" s="14" t="str">
        <f t="shared" ca="1" si="28"/>
        <v>No</v>
      </c>
    </row>
    <row r="473" spans="1:10" x14ac:dyDescent="0.35">
      <c r="A473" s="12">
        <f t="shared" si="29"/>
        <v>27</v>
      </c>
      <c r="B473" s="12" t="str">
        <f t="shared" si="30"/>
        <v>Jul2025</v>
      </c>
      <c r="C473" s="12" t="str">
        <f t="shared" si="31"/>
        <v>Wednesday</v>
      </c>
      <c r="D473" s="13">
        <v>45840</v>
      </c>
      <c r="E473" s="14">
        <v>25</v>
      </c>
      <c r="F473" s="12">
        <v>10780491092</v>
      </c>
      <c r="G473" s="14" t="s">
        <v>4</v>
      </c>
      <c r="H473" s="14" t="s">
        <v>11</v>
      </c>
      <c r="I473" s="16" t="s">
        <v>118</v>
      </c>
      <c r="J473" s="14" t="str">
        <f t="shared" ca="1" si="28"/>
        <v>No</v>
      </c>
    </row>
    <row r="474" spans="1:10" x14ac:dyDescent="0.35">
      <c r="A474" s="12">
        <f t="shared" si="29"/>
        <v>27</v>
      </c>
      <c r="B474" s="12" t="str">
        <f t="shared" si="30"/>
        <v>Jul2025</v>
      </c>
      <c r="C474" s="12" t="str">
        <f t="shared" si="31"/>
        <v>Wednesday</v>
      </c>
      <c r="D474" s="13">
        <v>45840</v>
      </c>
      <c r="E474" s="14">
        <v>26</v>
      </c>
      <c r="F474" s="12">
        <v>10785178972</v>
      </c>
      <c r="G474" s="14" t="s">
        <v>4</v>
      </c>
      <c r="H474" s="14" t="s">
        <v>11</v>
      </c>
      <c r="I474" s="16" t="s">
        <v>13</v>
      </c>
      <c r="J474" s="14" t="str">
        <f t="shared" ca="1" si="28"/>
        <v>Yes</v>
      </c>
    </row>
    <row r="475" spans="1:10" x14ac:dyDescent="0.35">
      <c r="A475" s="12">
        <f t="shared" si="29"/>
        <v>7</v>
      </c>
      <c r="B475" s="12" t="str">
        <f t="shared" si="30"/>
        <v>Feb2025</v>
      </c>
      <c r="C475" s="12" t="str">
        <f t="shared" si="31"/>
        <v>Tuesday</v>
      </c>
      <c r="D475" s="13">
        <v>45699</v>
      </c>
      <c r="E475" s="14">
        <v>1</v>
      </c>
      <c r="F475" s="12">
        <v>10796660672</v>
      </c>
      <c r="G475" s="14" t="s">
        <v>7</v>
      </c>
      <c r="H475" s="14" t="s">
        <v>61</v>
      </c>
      <c r="I475" s="16" t="s">
        <v>21</v>
      </c>
      <c r="J475" s="14" t="str">
        <f t="shared" ca="1" si="28"/>
        <v>No</v>
      </c>
    </row>
    <row r="476" spans="1:10" x14ac:dyDescent="0.35">
      <c r="A476" s="12">
        <f t="shared" si="29"/>
        <v>45</v>
      </c>
      <c r="B476" s="12" t="str">
        <f t="shared" si="30"/>
        <v>Nov2025</v>
      </c>
      <c r="C476" s="12" t="str">
        <f t="shared" si="31"/>
        <v>Sunday</v>
      </c>
      <c r="D476" s="13">
        <v>45963</v>
      </c>
      <c r="E476" s="14">
        <v>2</v>
      </c>
      <c r="F476" s="12">
        <v>10796456102</v>
      </c>
      <c r="G476" s="14" t="s">
        <v>5</v>
      </c>
      <c r="H476" s="14" t="s">
        <v>61</v>
      </c>
      <c r="I476" s="16" t="s">
        <v>74</v>
      </c>
      <c r="J476" s="14" t="str">
        <f t="shared" ca="1" si="28"/>
        <v>No</v>
      </c>
    </row>
    <row r="477" spans="1:10" x14ac:dyDescent="0.35">
      <c r="A477" s="12">
        <f t="shared" si="29"/>
        <v>45</v>
      </c>
      <c r="B477" s="12" t="str">
        <f t="shared" si="30"/>
        <v>Nov2025</v>
      </c>
      <c r="C477" s="12" t="str">
        <f t="shared" si="31"/>
        <v>Sunday</v>
      </c>
      <c r="D477" s="13">
        <v>45963</v>
      </c>
      <c r="E477" s="14">
        <v>3</v>
      </c>
      <c r="F477" s="12">
        <v>10781275412</v>
      </c>
      <c r="G477" s="14" t="s">
        <v>4</v>
      </c>
      <c r="H477" s="14" t="s">
        <v>11</v>
      </c>
      <c r="I477" s="16" t="s">
        <v>122</v>
      </c>
      <c r="J477" s="14" t="str">
        <f t="shared" ca="1" si="28"/>
        <v>No</v>
      </c>
    </row>
    <row r="478" spans="1:10" x14ac:dyDescent="0.35">
      <c r="A478" s="12">
        <f t="shared" si="29"/>
        <v>45</v>
      </c>
      <c r="B478" s="12" t="str">
        <f t="shared" si="30"/>
        <v>Nov2025</v>
      </c>
      <c r="C478" s="12" t="str">
        <f t="shared" si="31"/>
        <v>Sunday</v>
      </c>
      <c r="D478" s="13">
        <v>45963</v>
      </c>
      <c r="E478" s="14">
        <v>4</v>
      </c>
      <c r="F478" s="12">
        <v>10773057202</v>
      </c>
      <c r="G478" s="14" t="s">
        <v>4</v>
      </c>
      <c r="H478" s="14" t="s">
        <v>11</v>
      </c>
      <c r="I478" s="16" t="s">
        <v>92</v>
      </c>
      <c r="J478" s="14" t="str">
        <f t="shared" ca="1" si="28"/>
        <v>No</v>
      </c>
    </row>
    <row r="479" spans="1:10" x14ac:dyDescent="0.35">
      <c r="A479" s="12">
        <f t="shared" si="29"/>
        <v>45</v>
      </c>
      <c r="B479" s="12" t="str">
        <f t="shared" si="30"/>
        <v>Nov2025</v>
      </c>
      <c r="C479" s="12" t="str">
        <f t="shared" si="31"/>
        <v>Sunday</v>
      </c>
      <c r="D479" s="13">
        <v>45963</v>
      </c>
      <c r="E479" s="14">
        <v>5</v>
      </c>
      <c r="F479" s="12">
        <v>10754723282</v>
      </c>
      <c r="G479" s="14" t="s">
        <v>3</v>
      </c>
      <c r="H479" s="14" t="s">
        <v>21</v>
      </c>
      <c r="I479" s="16" t="s">
        <v>16</v>
      </c>
      <c r="J479" s="14" t="str">
        <f t="shared" ca="1" si="28"/>
        <v>No</v>
      </c>
    </row>
    <row r="480" spans="1:10" x14ac:dyDescent="0.35">
      <c r="A480" s="12">
        <f t="shared" si="29"/>
        <v>45</v>
      </c>
      <c r="B480" s="12" t="str">
        <f t="shared" si="30"/>
        <v>Nov2025</v>
      </c>
      <c r="C480" s="12" t="str">
        <f t="shared" si="31"/>
        <v>Sunday</v>
      </c>
      <c r="D480" s="13">
        <v>45963</v>
      </c>
      <c r="E480" s="14">
        <v>6</v>
      </c>
      <c r="F480" s="12">
        <v>10796644252</v>
      </c>
      <c r="G480" s="14" t="s">
        <v>4</v>
      </c>
      <c r="H480" s="14" t="s">
        <v>61</v>
      </c>
      <c r="I480" s="16" t="s">
        <v>8</v>
      </c>
      <c r="J480" s="14" t="str">
        <f t="shared" ca="1" si="28"/>
        <v>No</v>
      </c>
    </row>
    <row r="481" spans="1:10" x14ac:dyDescent="0.35">
      <c r="A481" s="12">
        <f t="shared" si="29"/>
        <v>45</v>
      </c>
      <c r="B481" s="12" t="str">
        <f t="shared" si="30"/>
        <v>Nov2025</v>
      </c>
      <c r="C481" s="12" t="str">
        <f t="shared" si="31"/>
        <v>Sunday</v>
      </c>
      <c r="D481" s="13">
        <v>45963</v>
      </c>
      <c r="E481" s="14">
        <v>7</v>
      </c>
      <c r="F481" s="12">
        <v>10763696162</v>
      </c>
      <c r="G481" s="14" t="s">
        <v>3</v>
      </c>
      <c r="H481" s="14" t="s">
        <v>11</v>
      </c>
      <c r="I481" s="16" t="s">
        <v>16</v>
      </c>
      <c r="J481" s="14" t="str">
        <f t="shared" ca="1" si="28"/>
        <v>Yes</v>
      </c>
    </row>
    <row r="482" spans="1:10" x14ac:dyDescent="0.35">
      <c r="A482" s="12">
        <f t="shared" si="29"/>
        <v>45</v>
      </c>
      <c r="B482" s="12" t="str">
        <f t="shared" si="30"/>
        <v>Nov2025</v>
      </c>
      <c r="C482" s="12" t="str">
        <f t="shared" si="31"/>
        <v>Sunday</v>
      </c>
      <c r="D482" s="13">
        <v>45963</v>
      </c>
      <c r="E482" s="14">
        <v>8</v>
      </c>
      <c r="F482" s="12">
        <v>10796209502</v>
      </c>
      <c r="G482" s="14" t="s">
        <v>7</v>
      </c>
      <c r="H482" s="14" t="s">
        <v>11</v>
      </c>
      <c r="I482" s="16" t="s">
        <v>115</v>
      </c>
      <c r="J482" s="14" t="str">
        <f t="shared" ca="1" si="28"/>
        <v>No</v>
      </c>
    </row>
    <row r="483" spans="1:10" x14ac:dyDescent="0.35">
      <c r="A483" s="12">
        <f t="shared" si="29"/>
        <v>45</v>
      </c>
      <c r="B483" s="12" t="str">
        <f t="shared" si="30"/>
        <v>Nov2025</v>
      </c>
      <c r="C483" s="12" t="str">
        <f t="shared" si="31"/>
        <v>Sunday</v>
      </c>
      <c r="D483" s="13">
        <v>45963</v>
      </c>
      <c r="E483" s="14">
        <v>9</v>
      </c>
      <c r="F483" s="12">
        <v>10797003892</v>
      </c>
      <c r="G483" s="14" t="s">
        <v>4</v>
      </c>
      <c r="H483" s="14" t="s">
        <v>21</v>
      </c>
      <c r="I483" s="16" t="s">
        <v>76</v>
      </c>
      <c r="J483" s="14" t="str">
        <f t="shared" ca="1" si="28"/>
        <v>No</v>
      </c>
    </row>
    <row r="484" spans="1:10" x14ac:dyDescent="0.35">
      <c r="A484" s="12">
        <f t="shared" si="29"/>
        <v>45</v>
      </c>
      <c r="B484" s="12" t="str">
        <f t="shared" si="30"/>
        <v>Nov2025</v>
      </c>
      <c r="C484" s="12" t="str">
        <f t="shared" si="31"/>
        <v>Sunday</v>
      </c>
      <c r="D484" s="13">
        <v>45963</v>
      </c>
      <c r="E484" s="14">
        <v>10</v>
      </c>
      <c r="F484" s="12">
        <v>10790077232</v>
      </c>
      <c r="G484" s="14" t="s">
        <v>3</v>
      </c>
      <c r="H484" s="14" t="s">
        <v>11</v>
      </c>
      <c r="I484" s="16" t="s">
        <v>16</v>
      </c>
      <c r="J484" s="14" t="str">
        <f t="shared" ca="1" si="28"/>
        <v>No</v>
      </c>
    </row>
    <row r="485" spans="1:10" x14ac:dyDescent="0.35">
      <c r="A485" s="12">
        <f t="shared" si="29"/>
        <v>45</v>
      </c>
      <c r="B485" s="12" t="str">
        <f t="shared" si="30"/>
        <v>Nov2025</v>
      </c>
      <c r="C485" s="12" t="str">
        <f t="shared" si="31"/>
        <v>Sunday</v>
      </c>
      <c r="D485" s="13">
        <v>45963</v>
      </c>
      <c r="E485" s="14">
        <v>11</v>
      </c>
      <c r="F485" s="12">
        <v>10796910922</v>
      </c>
      <c r="G485" s="14" t="s">
        <v>4</v>
      </c>
      <c r="H485" s="14" t="s">
        <v>11</v>
      </c>
      <c r="I485" s="16" t="s">
        <v>92</v>
      </c>
      <c r="J485" s="14" t="str">
        <f t="shared" ca="1" si="28"/>
        <v>No</v>
      </c>
    </row>
    <row r="486" spans="1:10" x14ac:dyDescent="0.35">
      <c r="A486" s="12">
        <f t="shared" si="29"/>
        <v>45</v>
      </c>
      <c r="B486" s="12" t="str">
        <f t="shared" si="30"/>
        <v>Nov2025</v>
      </c>
      <c r="C486" s="12" t="str">
        <f t="shared" si="31"/>
        <v>Sunday</v>
      </c>
      <c r="D486" s="13">
        <v>45963</v>
      </c>
      <c r="E486" s="14">
        <v>12</v>
      </c>
      <c r="F486" s="12">
        <v>10774667802</v>
      </c>
      <c r="G486" s="14" t="s">
        <v>7</v>
      </c>
      <c r="H486" s="14" t="s">
        <v>21</v>
      </c>
      <c r="I486" s="16" t="s">
        <v>115</v>
      </c>
      <c r="J486" s="14" t="str">
        <f t="shared" ca="1" si="28"/>
        <v>No</v>
      </c>
    </row>
    <row r="487" spans="1:10" x14ac:dyDescent="0.35">
      <c r="A487" s="12">
        <f t="shared" si="29"/>
        <v>45</v>
      </c>
      <c r="B487" s="12" t="str">
        <f t="shared" si="30"/>
        <v>Nov2025</v>
      </c>
      <c r="C487" s="12" t="str">
        <f t="shared" si="31"/>
        <v>Sunday</v>
      </c>
      <c r="D487" s="13">
        <v>45963</v>
      </c>
      <c r="E487" s="14">
        <v>13</v>
      </c>
      <c r="F487" s="12">
        <v>10797099212</v>
      </c>
      <c r="G487" s="14" t="s">
        <v>4</v>
      </c>
      <c r="H487" s="14" t="s">
        <v>11</v>
      </c>
      <c r="I487" s="16" t="s">
        <v>92</v>
      </c>
      <c r="J487" s="14" t="str">
        <f t="shared" ca="1" si="28"/>
        <v>No</v>
      </c>
    </row>
    <row r="488" spans="1:10" x14ac:dyDescent="0.35">
      <c r="A488" s="12">
        <f t="shared" si="29"/>
        <v>45</v>
      </c>
      <c r="B488" s="12" t="str">
        <f t="shared" si="30"/>
        <v>Nov2025</v>
      </c>
      <c r="C488" s="12" t="str">
        <f t="shared" si="31"/>
        <v>Sunday</v>
      </c>
      <c r="D488" s="13">
        <v>45963</v>
      </c>
      <c r="E488" s="14">
        <v>14</v>
      </c>
      <c r="F488" s="12">
        <v>10797092322</v>
      </c>
      <c r="G488" s="14" t="s">
        <v>3</v>
      </c>
      <c r="H488" s="14" t="s">
        <v>11</v>
      </c>
      <c r="I488" s="16" t="s">
        <v>16</v>
      </c>
      <c r="J488" s="14" t="str">
        <f t="shared" ca="1" si="28"/>
        <v>No</v>
      </c>
    </row>
    <row r="489" spans="1:10" x14ac:dyDescent="0.35">
      <c r="A489" s="12">
        <f t="shared" si="29"/>
        <v>45</v>
      </c>
      <c r="B489" s="12" t="str">
        <f t="shared" si="30"/>
        <v>Nov2025</v>
      </c>
      <c r="C489" s="12" t="str">
        <f t="shared" si="31"/>
        <v>Sunday</v>
      </c>
      <c r="D489" s="13">
        <v>45963</v>
      </c>
      <c r="E489" s="14">
        <v>15</v>
      </c>
      <c r="F489" s="12">
        <v>10797117032</v>
      </c>
      <c r="G489" s="14" t="s">
        <v>7</v>
      </c>
      <c r="H489" s="14" t="s">
        <v>61</v>
      </c>
      <c r="I489" s="16" t="s">
        <v>69</v>
      </c>
      <c r="J489" s="14" t="str">
        <f t="shared" ca="1" si="28"/>
        <v>No</v>
      </c>
    </row>
    <row r="490" spans="1:10" x14ac:dyDescent="0.35">
      <c r="A490" s="12">
        <f t="shared" si="29"/>
        <v>45</v>
      </c>
      <c r="B490" s="12" t="str">
        <f t="shared" si="30"/>
        <v>Nov2025</v>
      </c>
      <c r="C490" s="12" t="str">
        <f t="shared" si="31"/>
        <v>Sunday</v>
      </c>
      <c r="D490" s="13">
        <v>45963</v>
      </c>
      <c r="E490" s="14">
        <v>16</v>
      </c>
      <c r="F490" s="12">
        <v>10797206072</v>
      </c>
      <c r="G490" s="14" t="s">
        <v>4</v>
      </c>
      <c r="H490" s="14" t="s">
        <v>11</v>
      </c>
      <c r="I490" s="16" t="s">
        <v>57</v>
      </c>
      <c r="J490" s="14" t="str">
        <f t="shared" ca="1" si="28"/>
        <v>No</v>
      </c>
    </row>
    <row r="491" spans="1:10" x14ac:dyDescent="0.35">
      <c r="A491" s="12">
        <f t="shared" si="29"/>
        <v>45</v>
      </c>
      <c r="B491" s="12" t="str">
        <f t="shared" si="30"/>
        <v>Nov2025</v>
      </c>
      <c r="C491" s="12" t="str">
        <f t="shared" si="31"/>
        <v>Sunday</v>
      </c>
      <c r="D491" s="13">
        <v>45963</v>
      </c>
      <c r="E491" s="14">
        <v>17</v>
      </c>
      <c r="F491" s="12">
        <v>10795972952</v>
      </c>
      <c r="G491" s="14" t="s">
        <v>4</v>
      </c>
      <c r="H491" s="14" t="s">
        <v>11</v>
      </c>
      <c r="I491" s="16" t="s">
        <v>64</v>
      </c>
      <c r="J491" s="14" t="str">
        <f t="shared" ca="1" si="28"/>
        <v>No</v>
      </c>
    </row>
    <row r="492" spans="1:10" x14ac:dyDescent="0.35">
      <c r="A492" s="12">
        <f t="shared" si="29"/>
        <v>45</v>
      </c>
      <c r="B492" s="12" t="str">
        <f t="shared" si="30"/>
        <v>Nov2025</v>
      </c>
      <c r="C492" s="12" t="str">
        <f t="shared" si="31"/>
        <v>Sunday</v>
      </c>
      <c r="D492" s="13">
        <v>45963</v>
      </c>
      <c r="E492" s="14">
        <v>18</v>
      </c>
      <c r="F492" s="12">
        <v>10797402932</v>
      </c>
      <c r="G492" s="14" t="s">
        <v>4</v>
      </c>
      <c r="H492" s="14" t="s">
        <v>61</v>
      </c>
      <c r="I492" s="16" t="s">
        <v>9</v>
      </c>
      <c r="J492" s="14" t="str">
        <f t="shared" ca="1" si="28"/>
        <v>No</v>
      </c>
    </row>
    <row r="493" spans="1:10" x14ac:dyDescent="0.35">
      <c r="A493" s="12">
        <f t="shared" si="29"/>
        <v>45</v>
      </c>
      <c r="B493" s="12" t="str">
        <f t="shared" si="30"/>
        <v>Nov2025</v>
      </c>
      <c r="C493" s="12" t="str">
        <f t="shared" si="31"/>
        <v>Sunday</v>
      </c>
      <c r="D493" s="13">
        <v>45963</v>
      </c>
      <c r="E493" s="14">
        <v>19</v>
      </c>
      <c r="F493" s="12">
        <v>10797925432</v>
      </c>
      <c r="G493" s="14" t="s">
        <v>10</v>
      </c>
      <c r="H493" s="14" t="s">
        <v>61</v>
      </c>
      <c r="I493" s="16" t="s">
        <v>182</v>
      </c>
      <c r="J493" s="14" t="str">
        <f t="shared" ca="1" si="28"/>
        <v>Yes</v>
      </c>
    </row>
    <row r="494" spans="1:10" x14ac:dyDescent="0.35">
      <c r="A494" s="12">
        <f t="shared" si="29"/>
        <v>45</v>
      </c>
      <c r="B494" s="12" t="str">
        <f t="shared" si="30"/>
        <v>Nov2025</v>
      </c>
      <c r="C494" s="12" t="str">
        <f t="shared" si="31"/>
        <v>Sunday</v>
      </c>
      <c r="D494" s="13">
        <v>45963</v>
      </c>
      <c r="E494" s="14">
        <v>20</v>
      </c>
      <c r="F494" s="12">
        <v>10796997682</v>
      </c>
      <c r="G494" s="14" t="s">
        <v>4</v>
      </c>
      <c r="H494" s="14" t="s">
        <v>21</v>
      </c>
      <c r="I494" s="16" t="s">
        <v>76</v>
      </c>
      <c r="J494" s="14" t="str">
        <f t="shared" ca="1" si="28"/>
        <v>No</v>
      </c>
    </row>
    <row r="495" spans="1:10" x14ac:dyDescent="0.35">
      <c r="A495" s="12">
        <f t="shared" si="29"/>
        <v>45</v>
      </c>
      <c r="B495" s="12" t="str">
        <f t="shared" si="30"/>
        <v>Nov2025</v>
      </c>
      <c r="C495" s="12" t="str">
        <f t="shared" si="31"/>
        <v>Sunday</v>
      </c>
      <c r="D495" s="13">
        <v>45963</v>
      </c>
      <c r="E495" s="14">
        <v>21</v>
      </c>
      <c r="F495" s="12">
        <v>10782765832</v>
      </c>
      <c r="G495" s="14" t="s">
        <v>4</v>
      </c>
      <c r="H495" s="14" t="s">
        <v>11</v>
      </c>
      <c r="I495" s="16" t="s">
        <v>92</v>
      </c>
      <c r="J495" s="14" t="str">
        <f t="shared" ca="1" si="28"/>
        <v>No</v>
      </c>
    </row>
    <row r="496" spans="1:10" x14ac:dyDescent="0.35">
      <c r="A496" s="12">
        <f t="shared" si="29"/>
        <v>45</v>
      </c>
      <c r="B496" s="12" t="str">
        <f t="shared" si="30"/>
        <v>Nov2025</v>
      </c>
      <c r="C496" s="12" t="str">
        <f t="shared" si="31"/>
        <v>Sunday</v>
      </c>
      <c r="D496" s="13">
        <v>45963</v>
      </c>
      <c r="E496" s="14">
        <v>22</v>
      </c>
      <c r="F496" s="12">
        <v>10655135682</v>
      </c>
      <c r="G496" s="14" t="s">
        <v>3</v>
      </c>
      <c r="H496" s="14" t="s">
        <v>11</v>
      </c>
      <c r="I496" s="16" t="s">
        <v>92</v>
      </c>
      <c r="J496" s="14" t="str">
        <f t="shared" ca="1" si="28"/>
        <v>No</v>
      </c>
    </row>
    <row r="497" spans="1:10" x14ac:dyDescent="0.35">
      <c r="A497" s="12">
        <f t="shared" si="29"/>
        <v>45</v>
      </c>
      <c r="B497" s="12" t="str">
        <f t="shared" si="30"/>
        <v>Nov2025</v>
      </c>
      <c r="C497" s="12" t="str">
        <f t="shared" si="31"/>
        <v>Sunday</v>
      </c>
      <c r="D497" s="13">
        <v>45963</v>
      </c>
      <c r="E497" s="14">
        <v>23</v>
      </c>
      <c r="F497" s="12">
        <v>10752315112</v>
      </c>
      <c r="G497" s="14" t="s">
        <v>3</v>
      </c>
      <c r="H497" s="14" t="s">
        <v>61</v>
      </c>
      <c r="I497" s="16" t="s">
        <v>16</v>
      </c>
      <c r="J497" s="14" t="str">
        <f t="shared" ca="1" si="28"/>
        <v>No</v>
      </c>
    </row>
    <row r="498" spans="1:10" x14ac:dyDescent="0.35">
      <c r="A498" s="12">
        <f t="shared" si="29"/>
        <v>45</v>
      </c>
      <c r="B498" s="12" t="str">
        <f t="shared" si="30"/>
        <v>Nov2025</v>
      </c>
      <c r="C498" s="12" t="str">
        <f t="shared" si="31"/>
        <v>Sunday</v>
      </c>
      <c r="D498" s="13">
        <v>45963</v>
      </c>
      <c r="E498" s="14">
        <v>24</v>
      </c>
      <c r="F498" s="12">
        <v>10797947812</v>
      </c>
      <c r="G498" s="14" t="s">
        <v>4</v>
      </c>
      <c r="H498" s="14" t="s">
        <v>61</v>
      </c>
      <c r="I498" s="16" t="s">
        <v>69</v>
      </c>
      <c r="J498" s="14" t="str">
        <f t="shared" ca="1" si="28"/>
        <v>No</v>
      </c>
    </row>
    <row r="499" spans="1:10" x14ac:dyDescent="0.35">
      <c r="A499" s="12">
        <f t="shared" si="29"/>
        <v>45</v>
      </c>
      <c r="B499" s="12" t="str">
        <f t="shared" si="30"/>
        <v>Nov2025</v>
      </c>
      <c r="C499" s="12" t="str">
        <f t="shared" si="31"/>
        <v>Sunday</v>
      </c>
      <c r="D499" s="13">
        <v>45963</v>
      </c>
      <c r="E499" s="14">
        <v>25</v>
      </c>
      <c r="F499" s="12">
        <v>10795214802</v>
      </c>
      <c r="G499" s="14" t="s">
        <v>5</v>
      </c>
      <c r="H499" s="14" t="s">
        <v>61</v>
      </c>
      <c r="I499" s="16" t="s">
        <v>52</v>
      </c>
      <c r="J499" s="14" t="str">
        <f t="shared" ca="1" si="28"/>
        <v>No</v>
      </c>
    </row>
    <row r="500" spans="1:10" x14ac:dyDescent="0.35">
      <c r="A500" s="12">
        <f t="shared" si="29"/>
        <v>45</v>
      </c>
      <c r="B500" s="12" t="str">
        <f t="shared" si="30"/>
        <v>Nov2025</v>
      </c>
      <c r="C500" s="12" t="str">
        <f t="shared" si="31"/>
        <v>Sunday</v>
      </c>
      <c r="D500" s="13">
        <v>45963</v>
      </c>
      <c r="E500" s="14">
        <v>26</v>
      </c>
      <c r="F500" s="12">
        <v>10784589902</v>
      </c>
      <c r="G500" s="14" t="s">
        <v>5</v>
      </c>
      <c r="H500" s="14" t="s">
        <v>21</v>
      </c>
      <c r="I500" s="16" t="s">
        <v>35</v>
      </c>
      <c r="J500" s="14" t="str">
        <f t="shared" ca="1" si="28"/>
        <v>No</v>
      </c>
    </row>
    <row r="501" spans="1:10" x14ac:dyDescent="0.35">
      <c r="A501" s="12">
        <f t="shared" si="29"/>
        <v>45</v>
      </c>
      <c r="B501" s="12" t="str">
        <f t="shared" si="30"/>
        <v>Nov2025</v>
      </c>
      <c r="C501" s="12" t="str">
        <f t="shared" si="31"/>
        <v>Sunday</v>
      </c>
      <c r="D501" s="13">
        <v>45963</v>
      </c>
      <c r="E501" s="14">
        <v>27</v>
      </c>
      <c r="F501" s="12">
        <v>10798034142</v>
      </c>
      <c r="G501" s="14" t="s">
        <v>3</v>
      </c>
      <c r="H501" s="14" t="s">
        <v>61</v>
      </c>
      <c r="I501" s="16" t="s">
        <v>183</v>
      </c>
      <c r="J501" s="14" t="str">
        <f t="shared" ca="1" si="28"/>
        <v>No</v>
      </c>
    </row>
    <row r="502" spans="1:10" x14ac:dyDescent="0.35">
      <c r="A502" s="12">
        <f t="shared" si="29"/>
        <v>45</v>
      </c>
      <c r="B502" s="12" t="str">
        <f t="shared" si="30"/>
        <v>Nov2025</v>
      </c>
      <c r="C502" s="12" t="str">
        <f t="shared" si="31"/>
        <v>Sunday</v>
      </c>
      <c r="D502" s="13">
        <v>45963</v>
      </c>
      <c r="E502" s="14">
        <v>28</v>
      </c>
      <c r="F502" s="12">
        <v>10798469832</v>
      </c>
      <c r="G502" s="14" t="s">
        <v>4</v>
      </c>
      <c r="H502" s="14" t="s">
        <v>11</v>
      </c>
      <c r="I502" s="16" t="s">
        <v>92</v>
      </c>
      <c r="J502" s="14" t="str">
        <f t="shared" ca="1" si="28"/>
        <v>No</v>
      </c>
    </row>
    <row r="503" spans="1:10" x14ac:dyDescent="0.35">
      <c r="A503" s="12">
        <f t="shared" si="29"/>
        <v>7</v>
      </c>
      <c r="B503" s="12" t="str">
        <f t="shared" si="30"/>
        <v>Feb2025</v>
      </c>
      <c r="C503" s="12" t="str">
        <f t="shared" si="31"/>
        <v>Wednesday</v>
      </c>
      <c r="D503" s="13">
        <v>45700</v>
      </c>
      <c r="E503" s="14">
        <v>1</v>
      </c>
      <c r="F503" s="12">
        <v>10800536652</v>
      </c>
      <c r="G503" s="14" t="s">
        <v>4</v>
      </c>
      <c r="H503" s="14" t="s">
        <v>11</v>
      </c>
      <c r="I503" s="16" t="s">
        <v>13</v>
      </c>
      <c r="J503" s="14" t="str">
        <f t="shared" ca="1" si="28"/>
        <v>No</v>
      </c>
    </row>
    <row r="504" spans="1:10" x14ac:dyDescent="0.35">
      <c r="A504" s="12">
        <f t="shared" si="29"/>
        <v>49</v>
      </c>
      <c r="B504" s="12" t="str">
        <f t="shared" si="30"/>
        <v>Dec2025</v>
      </c>
      <c r="C504" s="12" t="str">
        <f t="shared" si="31"/>
        <v>Tuesday</v>
      </c>
      <c r="D504" s="13">
        <v>45993</v>
      </c>
      <c r="E504" s="14">
        <v>2</v>
      </c>
      <c r="F504" s="12">
        <v>10800629392</v>
      </c>
      <c r="G504" s="14" t="s">
        <v>3</v>
      </c>
      <c r="H504" s="14" t="s">
        <v>61</v>
      </c>
      <c r="I504" s="16" t="s">
        <v>104</v>
      </c>
      <c r="J504" s="14" t="str">
        <f t="shared" ca="1" si="28"/>
        <v>No</v>
      </c>
    </row>
    <row r="505" spans="1:10" x14ac:dyDescent="0.35">
      <c r="A505" s="12">
        <f t="shared" si="29"/>
        <v>49</v>
      </c>
      <c r="B505" s="12" t="str">
        <f t="shared" si="30"/>
        <v>Dec2025</v>
      </c>
      <c r="C505" s="12" t="str">
        <f t="shared" si="31"/>
        <v>Tuesday</v>
      </c>
      <c r="D505" s="13">
        <v>45993</v>
      </c>
      <c r="E505" s="14">
        <v>3</v>
      </c>
      <c r="F505" s="12">
        <v>10764092182</v>
      </c>
      <c r="G505" s="14" t="s">
        <v>4</v>
      </c>
      <c r="H505" s="14" t="s">
        <v>11</v>
      </c>
      <c r="I505" s="16" t="s">
        <v>64</v>
      </c>
      <c r="J505" s="14" t="str">
        <f t="shared" ca="1" si="28"/>
        <v>No</v>
      </c>
    </row>
    <row r="506" spans="1:10" x14ac:dyDescent="0.35">
      <c r="A506" s="12">
        <f t="shared" si="29"/>
        <v>49</v>
      </c>
      <c r="B506" s="12" t="str">
        <f t="shared" si="30"/>
        <v>Dec2025</v>
      </c>
      <c r="C506" s="12" t="str">
        <f t="shared" si="31"/>
        <v>Tuesday</v>
      </c>
      <c r="D506" s="13">
        <v>45993</v>
      </c>
      <c r="E506" s="14">
        <v>4</v>
      </c>
      <c r="F506" s="12">
        <v>10800731252</v>
      </c>
      <c r="G506" s="14" t="s">
        <v>7</v>
      </c>
      <c r="H506" s="14" t="s">
        <v>61</v>
      </c>
      <c r="I506" s="16" t="s">
        <v>18</v>
      </c>
      <c r="J506" s="14" t="str">
        <f t="shared" ca="1" si="28"/>
        <v>No</v>
      </c>
    </row>
    <row r="507" spans="1:10" x14ac:dyDescent="0.35">
      <c r="A507" s="12">
        <f t="shared" si="29"/>
        <v>49</v>
      </c>
      <c r="B507" s="12" t="str">
        <f t="shared" si="30"/>
        <v>Dec2025</v>
      </c>
      <c r="C507" s="12" t="str">
        <f t="shared" si="31"/>
        <v>Tuesday</v>
      </c>
      <c r="D507" s="13">
        <v>45993</v>
      </c>
      <c r="E507" s="14">
        <v>5</v>
      </c>
      <c r="F507" s="12">
        <v>10800054962</v>
      </c>
      <c r="G507" s="14" t="s">
        <v>4</v>
      </c>
      <c r="H507" s="14" t="s">
        <v>11</v>
      </c>
      <c r="I507" s="16" t="s">
        <v>92</v>
      </c>
      <c r="J507" s="14" t="str">
        <f t="shared" ca="1" si="28"/>
        <v>No</v>
      </c>
    </row>
    <row r="508" spans="1:10" x14ac:dyDescent="0.35">
      <c r="A508" s="12">
        <f t="shared" si="29"/>
        <v>49</v>
      </c>
      <c r="B508" s="12" t="str">
        <f t="shared" si="30"/>
        <v>Dec2025</v>
      </c>
      <c r="C508" s="12" t="str">
        <f t="shared" si="31"/>
        <v>Tuesday</v>
      </c>
      <c r="D508" s="13">
        <v>45993</v>
      </c>
      <c r="E508" s="14">
        <v>6</v>
      </c>
      <c r="F508" s="12">
        <v>10801530372</v>
      </c>
      <c r="G508" s="14" t="s">
        <v>7</v>
      </c>
      <c r="H508" s="14" t="s">
        <v>61</v>
      </c>
      <c r="I508" s="16" t="s">
        <v>95</v>
      </c>
      <c r="J508" s="14" t="str">
        <f t="shared" ca="1" si="28"/>
        <v>No</v>
      </c>
    </row>
    <row r="509" spans="1:10" x14ac:dyDescent="0.35">
      <c r="A509" s="12">
        <f t="shared" si="29"/>
        <v>49</v>
      </c>
      <c r="B509" s="12" t="str">
        <f t="shared" si="30"/>
        <v>Dec2025</v>
      </c>
      <c r="C509" s="12" t="str">
        <f t="shared" si="31"/>
        <v>Tuesday</v>
      </c>
      <c r="D509" s="13">
        <v>45993</v>
      </c>
      <c r="E509" s="14">
        <v>7</v>
      </c>
      <c r="F509" s="12">
        <v>10790789882</v>
      </c>
      <c r="G509" s="14" t="s">
        <v>4</v>
      </c>
      <c r="H509" s="14" t="s">
        <v>11</v>
      </c>
      <c r="I509" s="16" t="s">
        <v>184</v>
      </c>
      <c r="J509" s="14" t="str">
        <f t="shared" ca="1" si="28"/>
        <v>Yes</v>
      </c>
    </row>
    <row r="510" spans="1:10" x14ac:dyDescent="0.35">
      <c r="A510" s="12">
        <f t="shared" si="29"/>
        <v>49</v>
      </c>
      <c r="B510" s="12" t="str">
        <f t="shared" si="30"/>
        <v>Dec2025</v>
      </c>
      <c r="C510" s="12" t="str">
        <f t="shared" si="31"/>
        <v>Tuesday</v>
      </c>
      <c r="D510" s="13">
        <v>45993</v>
      </c>
      <c r="E510" s="14">
        <v>8</v>
      </c>
      <c r="F510" s="12">
        <v>10798864032</v>
      </c>
      <c r="G510" s="14" t="s">
        <v>7</v>
      </c>
      <c r="H510" s="14" t="s">
        <v>21</v>
      </c>
      <c r="I510" s="16" t="s">
        <v>82</v>
      </c>
      <c r="J510" s="14" t="str">
        <f t="shared" ca="1" si="28"/>
        <v>No</v>
      </c>
    </row>
    <row r="511" spans="1:10" x14ac:dyDescent="0.35">
      <c r="A511" s="12">
        <f t="shared" si="29"/>
        <v>49</v>
      </c>
      <c r="B511" s="12" t="str">
        <f t="shared" si="30"/>
        <v>Dec2025</v>
      </c>
      <c r="C511" s="12" t="str">
        <f t="shared" si="31"/>
        <v>Tuesday</v>
      </c>
      <c r="D511" s="13">
        <v>45993</v>
      </c>
      <c r="E511" s="14">
        <v>9</v>
      </c>
      <c r="F511" s="12">
        <v>10800502722</v>
      </c>
      <c r="G511" s="14" t="s">
        <v>4</v>
      </c>
      <c r="H511" s="14" t="s">
        <v>21</v>
      </c>
      <c r="I511" s="16" t="s">
        <v>26</v>
      </c>
      <c r="J511" s="14" t="str">
        <f t="shared" ca="1" si="28"/>
        <v>Yes</v>
      </c>
    </row>
    <row r="512" spans="1:10" x14ac:dyDescent="0.35">
      <c r="A512" s="12">
        <f t="shared" si="29"/>
        <v>49</v>
      </c>
      <c r="B512" s="12" t="str">
        <f t="shared" si="30"/>
        <v>Dec2025</v>
      </c>
      <c r="C512" s="12" t="str">
        <f t="shared" si="31"/>
        <v>Tuesday</v>
      </c>
      <c r="D512" s="13">
        <v>45993</v>
      </c>
      <c r="E512" s="14">
        <v>10</v>
      </c>
      <c r="F512" s="12">
        <v>10795717062</v>
      </c>
      <c r="G512" s="14" t="s">
        <v>5</v>
      </c>
      <c r="H512" s="14" t="s">
        <v>61</v>
      </c>
      <c r="I512" s="16" t="s">
        <v>46</v>
      </c>
      <c r="J512" s="14" t="str">
        <f t="shared" ca="1" si="28"/>
        <v>No</v>
      </c>
    </row>
    <row r="513" spans="1:10" x14ac:dyDescent="0.35">
      <c r="A513" s="12">
        <f t="shared" si="29"/>
        <v>49</v>
      </c>
      <c r="B513" s="12" t="str">
        <f t="shared" si="30"/>
        <v>Dec2025</v>
      </c>
      <c r="C513" s="12" t="str">
        <f t="shared" si="31"/>
        <v>Tuesday</v>
      </c>
      <c r="D513" s="13">
        <v>45993</v>
      </c>
      <c r="E513" s="14">
        <v>11</v>
      </c>
      <c r="F513" s="12">
        <v>10781026822</v>
      </c>
      <c r="G513" s="14" t="s">
        <v>7</v>
      </c>
      <c r="H513" s="14" t="s">
        <v>21</v>
      </c>
      <c r="I513" s="16" t="s">
        <v>115</v>
      </c>
      <c r="J513" s="14" t="str">
        <f t="shared" ca="1" si="28"/>
        <v>No</v>
      </c>
    </row>
    <row r="514" spans="1:10" x14ac:dyDescent="0.35">
      <c r="A514" s="12">
        <f t="shared" si="29"/>
        <v>49</v>
      </c>
      <c r="B514" s="12" t="str">
        <f t="shared" si="30"/>
        <v>Dec2025</v>
      </c>
      <c r="C514" s="12" t="str">
        <f t="shared" si="31"/>
        <v>Tuesday</v>
      </c>
      <c r="D514" s="13">
        <v>45993</v>
      </c>
      <c r="E514" s="14">
        <v>12</v>
      </c>
      <c r="F514" s="12">
        <v>10769457462</v>
      </c>
      <c r="G514" s="14" t="s">
        <v>4</v>
      </c>
      <c r="H514" s="14" t="s">
        <v>11</v>
      </c>
      <c r="I514" s="16" t="s">
        <v>39</v>
      </c>
      <c r="J514" s="14" t="str">
        <f t="shared" ref="J514:J577" ca="1" si="32">IF(RAND()&lt;0.2,"Yes","No")</f>
        <v>No</v>
      </c>
    </row>
    <row r="515" spans="1:10" x14ac:dyDescent="0.35">
      <c r="A515" s="12">
        <f t="shared" ref="A515:A578" si="33">WEEKNUM(D515)</f>
        <v>49</v>
      </c>
      <c r="B515" s="12" t="str">
        <f t="shared" ref="B515:B578" si="34">TEXT(D515,"MMMYYYY")</f>
        <v>Dec2025</v>
      </c>
      <c r="C515" s="12" t="str">
        <f t="shared" ref="C515:C578" si="35">TEXT(D515,"dddd")</f>
        <v>Tuesday</v>
      </c>
      <c r="D515" s="13">
        <v>45993</v>
      </c>
      <c r="E515" s="14">
        <v>13</v>
      </c>
      <c r="F515" s="12">
        <v>10776096842</v>
      </c>
      <c r="G515" s="14" t="s">
        <v>3</v>
      </c>
      <c r="H515" s="14" t="s">
        <v>11</v>
      </c>
      <c r="I515" s="16" t="s">
        <v>16</v>
      </c>
      <c r="J515" s="14" t="str">
        <f t="shared" ca="1" si="32"/>
        <v>No</v>
      </c>
    </row>
    <row r="516" spans="1:10" x14ac:dyDescent="0.35">
      <c r="A516" s="12">
        <f t="shared" si="33"/>
        <v>49</v>
      </c>
      <c r="B516" s="12" t="str">
        <f t="shared" si="34"/>
        <v>Dec2025</v>
      </c>
      <c r="C516" s="12" t="str">
        <f t="shared" si="35"/>
        <v>Tuesday</v>
      </c>
      <c r="D516" s="13">
        <v>45993</v>
      </c>
      <c r="E516" s="14">
        <v>14</v>
      </c>
      <c r="F516" s="12">
        <v>10802720312</v>
      </c>
      <c r="G516" s="14" t="s">
        <v>4</v>
      </c>
      <c r="H516" s="14" t="s">
        <v>11</v>
      </c>
      <c r="I516" s="16" t="s">
        <v>185</v>
      </c>
      <c r="J516" s="14" t="str">
        <f t="shared" ca="1" si="32"/>
        <v>No</v>
      </c>
    </row>
    <row r="517" spans="1:10" x14ac:dyDescent="0.35">
      <c r="A517" s="12">
        <f t="shared" si="33"/>
        <v>49</v>
      </c>
      <c r="B517" s="12" t="str">
        <f t="shared" si="34"/>
        <v>Dec2025</v>
      </c>
      <c r="C517" s="12" t="str">
        <f t="shared" si="35"/>
        <v>Tuesday</v>
      </c>
      <c r="D517" s="13">
        <v>45993</v>
      </c>
      <c r="E517" s="14">
        <v>15</v>
      </c>
      <c r="F517" s="12">
        <v>10785966102</v>
      </c>
      <c r="G517" s="14" t="s">
        <v>4</v>
      </c>
      <c r="H517" s="14" t="s">
        <v>61</v>
      </c>
      <c r="I517" s="16" t="s">
        <v>186</v>
      </c>
      <c r="J517" s="14" t="str">
        <f t="shared" ca="1" si="32"/>
        <v>Yes</v>
      </c>
    </row>
    <row r="518" spans="1:10" x14ac:dyDescent="0.35">
      <c r="A518" s="12">
        <f t="shared" si="33"/>
        <v>49</v>
      </c>
      <c r="B518" s="12" t="str">
        <f t="shared" si="34"/>
        <v>Dec2025</v>
      </c>
      <c r="C518" s="12" t="str">
        <f t="shared" si="35"/>
        <v>Tuesday</v>
      </c>
      <c r="D518" s="13">
        <v>45993</v>
      </c>
      <c r="E518" s="14">
        <v>16</v>
      </c>
      <c r="F518" s="12">
        <v>10801021632</v>
      </c>
      <c r="G518" s="14" t="s">
        <v>5</v>
      </c>
      <c r="H518" s="14" t="s">
        <v>61</v>
      </c>
      <c r="I518" s="16" t="s">
        <v>46</v>
      </c>
      <c r="J518" s="14" t="str">
        <f t="shared" ca="1" si="32"/>
        <v>No</v>
      </c>
    </row>
    <row r="519" spans="1:10" x14ac:dyDescent="0.35">
      <c r="A519" s="12">
        <f t="shared" si="33"/>
        <v>49</v>
      </c>
      <c r="B519" s="12" t="str">
        <f t="shared" si="34"/>
        <v>Dec2025</v>
      </c>
      <c r="C519" s="12" t="str">
        <f t="shared" si="35"/>
        <v>Tuesday</v>
      </c>
      <c r="D519" s="13">
        <v>45993</v>
      </c>
      <c r="E519" s="14">
        <v>17</v>
      </c>
      <c r="F519" s="12">
        <v>10672229412</v>
      </c>
      <c r="G519" s="14" t="s">
        <v>3</v>
      </c>
      <c r="H519" s="14" t="s">
        <v>11</v>
      </c>
      <c r="I519" s="16" t="s">
        <v>16</v>
      </c>
      <c r="J519" s="14" t="str">
        <f t="shared" ca="1" si="32"/>
        <v>No</v>
      </c>
    </row>
    <row r="520" spans="1:10" x14ac:dyDescent="0.35">
      <c r="A520" s="12">
        <f t="shared" si="33"/>
        <v>49</v>
      </c>
      <c r="B520" s="12" t="str">
        <f t="shared" si="34"/>
        <v>Dec2025</v>
      </c>
      <c r="C520" s="12" t="str">
        <f t="shared" si="35"/>
        <v>Tuesday</v>
      </c>
      <c r="D520" s="13">
        <v>45993</v>
      </c>
      <c r="E520" s="14">
        <v>18</v>
      </c>
      <c r="F520" s="12">
        <v>10802460102</v>
      </c>
      <c r="G520" s="14" t="s">
        <v>4</v>
      </c>
      <c r="H520" s="14" t="s">
        <v>11</v>
      </c>
      <c r="I520" s="16" t="s">
        <v>187</v>
      </c>
      <c r="J520" s="14" t="str">
        <f t="shared" ca="1" si="32"/>
        <v>Yes</v>
      </c>
    </row>
    <row r="521" spans="1:10" s="1" customFormat="1" ht="14.5" customHeight="1" x14ac:dyDescent="0.35">
      <c r="A521" s="12">
        <f t="shared" si="33"/>
        <v>49</v>
      </c>
      <c r="B521" s="12" t="str">
        <f t="shared" si="34"/>
        <v>Dec2025</v>
      </c>
      <c r="C521" s="12" t="str">
        <f t="shared" si="35"/>
        <v>Tuesday</v>
      </c>
      <c r="D521" s="20">
        <v>45993</v>
      </c>
      <c r="E521" s="18">
        <v>19</v>
      </c>
      <c r="F521" s="19">
        <v>10803061852</v>
      </c>
      <c r="G521" s="18" t="s">
        <v>4</v>
      </c>
      <c r="H521" s="18" t="s">
        <v>11</v>
      </c>
      <c r="I521" s="17" t="s">
        <v>188</v>
      </c>
      <c r="J521" s="14" t="str">
        <f t="shared" ca="1" si="32"/>
        <v>No</v>
      </c>
    </row>
    <row r="522" spans="1:10" x14ac:dyDescent="0.35">
      <c r="A522" s="12">
        <f t="shared" si="33"/>
        <v>49</v>
      </c>
      <c r="B522" s="12" t="str">
        <f t="shared" si="34"/>
        <v>Dec2025</v>
      </c>
      <c r="C522" s="12" t="str">
        <f t="shared" si="35"/>
        <v>Tuesday</v>
      </c>
      <c r="D522" s="13">
        <v>45993</v>
      </c>
      <c r="E522" s="14">
        <v>20</v>
      </c>
      <c r="F522" s="12">
        <v>10794315882</v>
      </c>
      <c r="G522" s="14" t="s">
        <v>4</v>
      </c>
      <c r="H522" s="14" t="s">
        <v>21</v>
      </c>
      <c r="I522" s="16" t="s">
        <v>24</v>
      </c>
      <c r="J522" s="14" t="str">
        <f t="shared" ca="1" si="32"/>
        <v>No</v>
      </c>
    </row>
    <row r="523" spans="1:10" x14ac:dyDescent="0.35">
      <c r="A523" s="12">
        <f t="shared" si="33"/>
        <v>49</v>
      </c>
      <c r="B523" s="12" t="str">
        <f t="shared" si="34"/>
        <v>Dec2025</v>
      </c>
      <c r="C523" s="12" t="str">
        <f t="shared" si="35"/>
        <v>Tuesday</v>
      </c>
      <c r="D523" s="13">
        <v>45993</v>
      </c>
      <c r="E523" s="14">
        <v>21</v>
      </c>
      <c r="F523" s="12">
        <v>10799992382</v>
      </c>
      <c r="G523" s="14" t="s">
        <v>5</v>
      </c>
      <c r="H523" s="14" t="s">
        <v>21</v>
      </c>
      <c r="I523" s="16" t="s">
        <v>51</v>
      </c>
      <c r="J523" s="14" t="str">
        <f t="shared" ca="1" si="32"/>
        <v>No</v>
      </c>
    </row>
    <row r="524" spans="1:10" x14ac:dyDescent="0.35">
      <c r="A524" s="12">
        <f t="shared" si="33"/>
        <v>49</v>
      </c>
      <c r="B524" s="12" t="str">
        <f t="shared" si="34"/>
        <v>Dec2025</v>
      </c>
      <c r="C524" s="12" t="str">
        <f t="shared" si="35"/>
        <v>Tuesday</v>
      </c>
      <c r="D524" s="13">
        <v>45993</v>
      </c>
      <c r="E524" s="14">
        <v>22</v>
      </c>
      <c r="F524" s="12">
        <v>10785460532</v>
      </c>
      <c r="G524" s="14" t="s">
        <v>4</v>
      </c>
      <c r="H524" s="14" t="s">
        <v>11</v>
      </c>
      <c r="I524" s="16" t="s">
        <v>32</v>
      </c>
      <c r="J524" s="14" t="str">
        <f t="shared" ca="1" si="32"/>
        <v>No</v>
      </c>
    </row>
    <row r="525" spans="1:10" x14ac:dyDescent="0.35">
      <c r="A525" s="12">
        <f t="shared" si="33"/>
        <v>49</v>
      </c>
      <c r="B525" s="12" t="str">
        <f t="shared" si="34"/>
        <v>Dec2025</v>
      </c>
      <c r="C525" s="12" t="str">
        <f t="shared" si="35"/>
        <v>Tuesday</v>
      </c>
      <c r="D525" s="13">
        <v>45993</v>
      </c>
      <c r="E525" s="14">
        <v>23</v>
      </c>
      <c r="F525" s="12">
        <v>10785954752</v>
      </c>
      <c r="G525" s="14" t="s">
        <v>3</v>
      </c>
      <c r="H525" s="14" t="s">
        <v>11</v>
      </c>
      <c r="I525" s="16" t="s">
        <v>16</v>
      </c>
      <c r="J525" s="14" t="str">
        <f t="shared" ca="1" si="32"/>
        <v>No</v>
      </c>
    </row>
    <row r="526" spans="1:10" x14ac:dyDescent="0.35">
      <c r="A526" s="12">
        <f t="shared" si="33"/>
        <v>49</v>
      </c>
      <c r="B526" s="12" t="str">
        <f t="shared" si="34"/>
        <v>Dec2025</v>
      </c>
      <c r="C526" s="12" t="str">
        <f t="shared" si="35"/>
        <v>Tuesday</v>
      </c>
      <c r="D526" s="13">
        <v>45993</v>
      </c>
      <c r="E526" s="14">
        <v>24</v>
      </c>
      <c r="F526" s="12">
        <v>10774824422</v>
      </c>
      <c r="G526" s="14" t="s">
        <v>7</v>
      </c>
      <c r="H526" s="14" t="s">
        <v>21</v>
      </c>
      <c r="I526" s="16" t="s">
        <v>58</v>
      </c>
      <c r="J526" s="14" t="str">
        <f t="shared" ca="1" si="32"/>
        <v>No</v>
      </c>
    </row>
    <row r="527" spans="1:10" x14ac:dyDescent="0.35">
      <c r="A527" s="12">
        <f t="shared" si="33"/>
        <v>49</v>
      </c>
      <c r="B527" s="12" t="str">
        <f t="shared" si="34"/>
        <v>Dec2025</v>
      </c>
      <c r="C527" s="12" t="str">
        <f t="shared" si="35"/>
        <v>Tuesday</v>
      </c>
      <c r="D527" s="13">
        <v>45993</v>
      </c>
      <c r="E527" s="14">
        <v>25</v>
      </c>
      <c r="F527" s="12">
        <v>10797092322</v>
      </c>
      <c r="G527" s="14" t="s">
        <v>4</v>
      </c>
      <c r="H527" s="14" t="s">
        <v>11</v>
      </c>
      <c r="I527" s="16" t="s">
        <v>138</v>
      </c>
      <c r="J527" s="14" t="str">
        <f t="shared" ca="1" si="32"/>
        <v>No</v>
      </c>
    </row>
    <row r="528" spans="1:10" x14ac:dyDescent="0.35">
      <c r="A528" s="12">
        <f t="shared" si="33"/>
        <v>49</v>
      </c>
      <c r="B528" s="12" t="str">
        <f t="shared" si="34"/>
        <v>Dec2025</v>
      </c>
      <c r="C528" s="12" t="str">
        <f t="shared" si="35"/>
        <v>Tuesday</v>
      </c>
      <c r="D528" s="13">
        <v>45993</v>
      </c>
      <c r="E528" s="14">
        <v>26</v>
      </c>
      <c r="F528" s="12">
        <v>10803485592</v>
      </c>
      <c r="G528" s="14" t="s">
        <v>7</v>
      </c>
      <c r="H528" s="14" t="s">
        <v>21</v>
      </c>
      <c r="I528" s="16" t="s">
        <v>58</v>
      </c>
      <c r="J528" s="14" t="str">
        <f t="shared" ca="1" si="32"/>
        <v>No</v>
      </c>
    </row>
    <row r="529" spans="1:10" x14ac:dyDescent="0.35">
      <c r="A529" s="12">
        <f t="shared" si="33"/>
        <v>49</v>
      </c>
      <c r="B529" s="12" t="str">
        <f t="shared" si="34"/>
        <v>Dec2025</v>
      </c>
      <c r="C529" s="12" t="str">
        <f t="shared" si="35"/>
        <v>Tuesday</v>
      </c>
      <c r="D529" s="13">
        <v>45993</v>
      </c>
      <c r="E529" s="14">
        <v>27</v>
      </c>
      <c r="F529" s="12">
        <v>10803625112</v>
      </c>
      <c r="G529" s="14" t="s">
        <v>4</v>
      </c>
      <c r="H529" s="14" t="s">
        <v>11</v>
      </c>
      <c r="I529" s="16" t="s">
        <v>27</v>
      </c>
      <c r="J529" s="14" t="str">
        <f t="shared" ca="1" si="32"/>
        <v>No</v>
      </c>
    </row>
    <row r="530" spans="1:10" x14ac:dyDescent="0.35">
      <c r="A530" s="12">
        <f t="shared" si="33"/>
        <v>49</v>
      </c>
      <c r="B530" s="12" t="str">
        <f t="shared" si="34"/>
        <v>Dec2025</v>
      </c>
      <c r="C530" s="12" t="str">
        <f t="shared" si="35"/>
        <v>Tuesday</v>
      </c>
      <c r="D530" s="13">
        <v>45993</v>
      </c>
      <c r="E530" s="14">
        <v>28</v>
      </c>
      <c r="F530" s="12">
        <v>10799792022</v>
      </c>
      <c r="G530" s="14" t="s">
        <v>4</v>
      </c>
      <c r="H530" s="14" t="s">
        <v>11</v>
      </c>
      <c r="I530" s="16" t="s">
        <v>112</v>
      </c>
      <c r="J530" s="14" t="str">
        <f t="shared" ca="1" si="32"/>
        <v>No</v>
      </c>
    </row>
    <row r="531" spans="1:10" x14ac:dyDescent="0.35">
      <c r="A531" s="12">
        <f t="shared" si="33"/>
        <v>49</v>
      </c>
      <c r="B531" s="12" t="str">
        <f t="shared" si="34"/>
        <v>Dec2025</v>
      </c>
      <c r="C531" s="12" t="str">
        <f t="shared" si="35"/>
        <v>Tuesday</v>
      </c>
      <c r="D531" s="13">
        <v>45993</v>
      </c>
      <c r="E531" s="14">
        <v>29</v>
      </c>
      <c r="F531" s="12">
        <v>10802800832</v>
      </c>
      <c r="G531" s="14" t="s">
        <v>4</v>
      </c>
      <c r="H531" s="14" t="s">
        <v>11</v>
      </c>
      <c r="I531" s="16" t="s">
        <v>32</v>
      </c>
      <c r="J531" s="14" t="str">
        <f t="shared" ca="1" si="32"/>
        <v>No</v>
      </c>
    </row>
    <row r="532" spans="1:10" x14ac:dyDescent="0.35">
      <c r="A532" s="12">
        <f t="shared" si="33"/>
        <v>7</v>
      </c>
      <c r="B532" s="12" t="str">
        <f t="shared" si="34"/>
        <v>Feb2025</v>
      </c>
      <c r="C532" s="12" t="str">
        <f t="shared" si="35"/>
        <v>Thursday</v>
      </c>
      <c r="D532" s="13">
        <v>45701</v>
      </c>
      <c r="E532" s="14">
        <v>1</v>
      </c>
      <c r="F532" s="12">
        <v>10804857552</v>
      </c>
      <c r="G532" s="14" t="s">
        <v>4</v>
      </c>
      <c r="H532" s="14" t="s">
        <v>61</v>
      </c>
      <c r="I532" s="16" t="s">
        <v>103</v>
      </c>
      <c r="J532" s="14" t="str">
        <f t="shared" ca="1" si="32"/>
        <v>Yes</v>
      </c>
    </row>
    <row r="533" spans="1:10" x14ac:dyDescent="0.35">
      <c r="A533" s="12">
        <f t="shared" si="33"/>
        <v>7</v>
      </c>
      <c r="B533" s="12" t="str">
        <f t="shared" si="34"/>
        <v>Feb2025</v>
      </c>
      <c r="C533" s="12" t="str">
        <f t="shared" si="35"/>
        <v>Thursday</v>
      </c>
      <c r="D533" s="13">
        <v>45701</v>
      </c>
      <c r="E533" s="14">
        <v>2</v>
      </c>
      <c r="F533" s="12">
        <v>10804857552</v>
      </c>
      <c r="G533" s="14" t="s">
        <v>4</v>
      </c>
      <c r="H533" s="14" t="s">
        <v>61</v>
      </c>
      <c r="I533" s="16" t="s">
        <v>74</v>
      </c>
      <c r="J533" s="14" t="str">
        <f t="shared" ca="1" si="32"/>
        <v>No</v>
      </c>
    </row>
    <row r="534" spans="1:10" x14ac:dyDescent="0.35">
      <c r="A534" s="12">
        <f t="shared" si="33"/>
        <v>7</v>
      </c>
      <c r="B534" s="12" t="str">
        <f t="shared" si="34"/>
        <v>Feb2025</v>
      </c>
      <c r="C534" s="12" t="str">
        <f t="shared" si="35"/>
        <v>Thursday</v>
      </c>
      <c r="D534" s="13">
        <v>45701</v>
      </c>
      <c r="E534" s="14">
        <v>3</v>
      </c>
      <c r="F534" s="12">
        <v>10790789882</v>
      </c>
      <c r="G534" s="14" t="s">
        <v>7</v>
      </c>
      <c r="H534" s="14" t="s">
        <v>11</v>
      </c>
      <c r="I534" s="16" t="s">
        <v>101</v>
      </c>
      <c r="J534" s="14" t="str">
        <f t="shared" ca="1" si="32"/>
        <v>No</v>
      </c>
    </row>
    <row r="535" spans="1:10" x14ac:dyDescent="0.35">
      <c r="A535" s="12">
        <f t="shared" si="33"/>
        <v>7</v>
      </c>
      <c r="B535" s="12" t="str">
        <f t="shared" si="34"/>
        <v>Feb2025</v>
      </c>
      <c r="C535" s="12" t="str">
        <f t="shared" si="35"/>
        <v>Thursday</v>
      </c>
      <c r="D535" s="13">
        <v>45701</v>
      </c>
      <c r="E535" s="14">
        <v>4</v>
      </c>
      <c r="F535" s="12">
        <v>10805034052</v>
      </c>
      <c r="G535" s="14" t="s">
        <v>5</v>
      </c>
      <c r="H535" s="14" t="s">
        <v>61</v>
      </c>
      <c r="I535" s="16" t="s">
        <v>14</v>
      </c>
      <c r="J535" s="14" t="str">
        <f t="shared" ca="1" si="32"/>
        <v>No</v>
      </c>
    </row>
    <row r="536" spans="1:10" x14ac:dyDescent="0.35">
      <c r="A536" s="12">
        <f t="shared" si="33"/>
        <v>7</v>
      </c>
      <c r="B536" s="12" t="str">
        <f t="shared" si="34"/>
        <v>Feb2025</v>
      </c>
      <c r="C536" s="12" t="str">
        <f t="shared" si="35"/>
        <v>Thursday</v>
      </c>
      <c r="D536" s="13">
        <v>45701</v>
      </c>
      <c r="E536" s="14">
        <v>5</v>
      </c>
      <c r="F536" s="12">
        <v>10804876272</v>
      </c>
      <c r="G536" s="14" t="s">
        <v>4</v>
      </c>
      <c r="H536" s="14" t="s">
        <v>61</v>
      </c>
      <c r="I536" s="16" t="s">
        <v>96</v>
      </c>
      <c r="J536" s="14" t="str">
        <f t="shared" ca="1" si="32"/>
        <v>Yes</v>
      </c>
    </row>
    <row r="537" spans="1:10" x14ac:dyDescent="0.35">
      <c r="A537" s="12">
        <f t="shared" si="33"/>
        <v>7</v>
      </c>
      <c r="B537" s="12" t="str">
        <f t="shared" si="34"/>
        <v>Feb2025</v>
      </c>
      <c r="C537" s="12" t="str">
        <f t="shared" si="35"/>
        <v>Thursday</v>
      </c>
      <c r="D537" s="13">
        <v>45701</v>
      </c>
      <c r="E537" s="14">
        <v>6</v>
      </c>
      <c r="F537" s="12">
        <v>10805118382</v>
      </c>
      <c r="G537" s="14" t="s">
        <v>4</v>
      </c>
      <c r="H537" s="14" t="s">
        <v>11</v>
      </c>
      <c r="I537" s="16" t="s">
        <v>189</v>
      </c>
      <c r="J537" s="14" t="str">
        <f t="shared" ca="1" si="32"/>
        <v>No</v>
      </c>
    </row>
    <row r="538" spans="1:10" x14ac:dyDescent="0.35">
      <c r="A538" s="12">
        <f t="shared" si="33"/>
        <v>7</v>
      </c>
      <c r="B538" s="12" t="str">
        <f t="shared" si="34"/>
        <v>Feb2025</v>
      </c>
      <c r="C538" s="12" t="str">
        <f t="shared" si="35"/>
        <v>Thursday</v>
      </c>
      <c r="D538" s="13">
        <v>45701</v>
      </c>
      <c r="E538" s="14">
        <v>7</v>
      </c>
      <c r="F538" s="12">
        <v>10801258882</v>
      </c>
      <c r="G538" s="14" t="s">
        <v>7</v>
      </c>
      <c r="H538" s="14" t="s">
        <v>21</v>
      </c>
      <c r="I538" s="16" t="s">
        <v>82</v>
      </c>
      <c r="J538" s="14" t="str">
        <f t="shared" ca="1" si="32"/>
        <v>No</v>
      </c>
    </row>
    <row r="539" spans="1:10" x14ac:dyDescent="0.35">
      <c r="A539" s="12">
        <f t="shared" si="33"/>
        <v>7</v>
      </c>
      <c r="B539" s="12" t="str">
        <f t="shared" si="34"/>
        <v>Feb2025</v>
      </c>
      <c r="C539" s="12" t="str">
        <f t="shared" si="35"/>
        <v>Thursday</v>
      </c>
      <c r="D539" s="13">
        <v>45701</v>
      </c>
      <c r="E539" s="14">
        <v>8</v>
      </c>
      <c r="F539" s="12">
        <v>10798584702</v>
      </c>
      <c r="G539" s="14" t="s">
        <v>7</v>
      </c>
      <c r="H539" s="14" t="s">
        <v>21</v>
      </c>
      <c r="I539" s="16" t="s">
        <v>82</v>
      </c>
      <c r="J539" s="14" t="str">
        <f t="shared" ca="1" si="32"/>
        <v>No</v>
      </c>
    </row>
    <row r="540" spans="1:10" x14ac:dyDescent="0.35">
      <c r="A540" s="12">
        <f t="shared" si="33"/>
        <v>7</v>
      </c>
      <c r="B540" s="12" t="str">
        <f t="shared" si="34"/>
        <v>Feb2025</v>
      </c>
      <c r="C540" s="12" t="str">
        <f t="shared" si="35"/>
        <v>Thursday</v>
      </c>
      <c r="D540" s="13">
        <v>45701</v>
      </c>
      <c r="E540" s="14">
        <v>9</v>
      </c>
      <c r="F540" s="12">
        <v>10805851632</v>
      </c>
      <c r="G540" s="14" t="s">
        <v>5</v>
      </c>
      <c r="H540" s="14" t="s">
        <v>61</v>
      </c>
      <c r="I540" s="16" t="s">
        <v>46</v>
      </c>
      <c r="J540" s="14" t="str">
        <f t="shared" ca="1" si="32"/>
        <v>No</v>
      </c>
    </row>
    <row r="541" spans="1:10" x14ac:dyDescent="0.35">
      <c r="A541" s="12">
        <f t="shared" si="33"/>
        <v>7</v>
      </c>
      <c r="B541" s="12" t="str">
        <f t="shared" si="34"/>
        <v>Feb2025</v>
      </c>
      <c r="C541" s="12" t="str">
        <f t="shared" si="35"/>
        <v>Thursday</v>
      </c>
      <c r="D541" s="13">
        <v>45701</v>
      </c>
      <c r="E541" s="14">
        <v>10</v>
      </c>
      <c r="F541" s="12">
        <v>10806204212</v>
      </c>
      <c r="G541" s="14" t="s">
        <v>4</v>
      </c>
      <c r="H541" s="14" t="s">
        <v>11</v>
      </c>
      <c r="I541" s="16" t="s">
        <v>78</v>
      </c>
      <c r="J541" s="14" t="str">
        <f t="shared" ca="1" si="32"/>
        <v>No</v>
      </c>
    </row>
    <row r="542" spans="1:10" x14ac:dyDescent="0.35">
      <c r="A542" s="12">
        <f t="shared" si="33"/>
        <v>7</v>
      </c>
      <c r="B542" s="12" t="str">
        <f t="shared" si="34"/>
        <v>Feb2025</v>
      </c>
      <c r="C542" s="12" t="str">
        <f t="shared" si="35"/>
        <v>Thursday</v>
      </c>
      <c r="D542" s="13">
        <v>45701</v>
      </c>
      <c r="E542" s="14">
        <v>11</v>
      </c>
      <c r="F542" s="12">
        <v>10799510802</v>
      </c>
      <c r="G542" s="14" t="s">
        <v>7</v>
      </c>
      <c r="H542" s="14" t="s">
        <v>61</v>
      </c>
      <c r="I542" s="16" t="s">
        <v>190</v>
      </c>
      <c r="J542" s="14" t="str">
        <f t="shared" ca="1" si="32"/>
        <v>No</v>
      </c>
    </row>
    <row r="543" spans="1:10" x14ac:dyDescent="0.35">
      <c r="A543" s="12">
        <f t="shared" si="33"/>
        <v>7</v>
      </c>
      <c r="B543" s="12" t="str">
        <f t="shared" si="34"/>
        <v>Feb2025</v>
      </c>
      <c r="C543" s="12" t="str">
        <f t="shared" si="35"/>
        <v>Thursday</v>
      </c>
      <c r="D543" s="13">
        <v>45701</v>
      </c>
      <c r="E543" s="14">
        <v>12</v>
      </c>
      <c r="F543" s="12">
        <v>10785653572</v>
      </c>
      <c r="G543" s="14" t="s">
        <v>5</v>
      </c>
      <c r="H543" s="14" t="s">
        <v>21</v>
      </c>
      <c r="I543" s="16" t="s">
        <v>35</v>
      </c>
      <c r="J543" s="14" t="str">
        <f t="shared" ca="1" si="32"/>
        <v>No</v>
      </c>
    </row>
    <row r="544" spans="1:10" x14ac:dyDescent="0.35">
      <c r="A544" s="12">
        <f t="shared" si="33"/>
        <v>7</v>
      </c>
      <c r="B544" s="12" t="str">
        <f t="shared" si="34"/>
        <v>Feb2025</v>
      </c>
      <c r="C544" s="12" t="str">
        <f t="shared" si="35"/>
        <v>Thursday</v>
      </c>
      <c r="D544" s="13">
        <v>45701</v>
      </c>
      <c r="E544" s="14">
        <v>13</v>
      </c>
      <c r="F544" s="12">
        <v>10805759312</v>
      </c>
      <c r="G544" s="14" t="s">
        <v>4</v>
      </c>
      <c r="H544" s="14" t="s">
        <v>61</v>
      </c>
      <c r="I544" s="16" t="s">
        <v>153</v>
      </c>
      <c r="J544" s="14" t="str">
        <f t="shared" ca="1" si="32"/>
        <v>Yes</v>
      </c>
    </row>
    <row r="545" spans="1:10" x14ac:dyDescent="0.35">
      <c r="A545" s="12">
        <f t="shared" si="33"/>
        <v>7</v>
      </c>
      <c r="B545" s="12" t="str">
        <f t="shared" si="34"/>
        <v>Feb2025</v>
      </c>
      <c r="C545" s="12" t="str">
        <f t="shared" si="35"/>
        <v>Thursday</v>
      </c>
      <c r="D545" s="13">
        <v>45701</v>
      </c>
      <c r="E545" s="14">
        <v>14</v>
      </c>
      <c r="F545" s="12">
        <v>10805807062</v>
      </c>
      <c r="G545" s="14" t="s">
        <v>4</v>
      </c>
      <c r="H545" s="14" t="s">
        <v>61</v>
      </c>
      <c r="I545" s="16" t="s">
        <v>189</v>
      </c>
      <c r="J545" s="14" t="str">
        <f t="shared" ca="1" si="32"/>
        <v>No</v>
      </c>
    </row>
    <row r="546" spans="1:10" x14ac:dyDescent="0.35">
      <c r="A546" s="12">
        <f t="shared" si="33"/>
        <v>7</v>
      </c>
      <c r="B546" s="12" t="str">
        <f t="shared" si="34"/>
        <v>Feb2025</v>
      </c>
      <c r="C546" s="12" t="str">
        <f t="shared" si="35"/>
        <v>Friday</v>
      </c>
      <c r="D546" s="13">
        <v>45702</v>
      </c>
      <c r="E546" s="14">
        <v>1</v>
      </c>
      <c r="F546" s="12">
        <v>10807992072</v>
      </c>
      <c r="G546" s="14" t="s">
        <v>4</v>
      </c>
      <c r="H546" s="14" t="s">
        <v>11</v>
      </c>
      <c r="I546" s="16" t="s">
        <v>92</v>
      </c>
      <c r="J546" s="14" t="str">
        <f t="shared" ca="1" si="32"/>
        <v>No</v>
      </c>
    </row>
    <row r="547" spans="1:10" x14ac:dyDescent="0.35">
      <c r="A547" s="12">
        <f t="shared" si="33"/>
        <v>7</v>
      </c>
      <c r="B547" s="12" t="str">
        <f t="shared" si="34"/>
        <v>Feb2025</v>
      </c>
      <c r="C547" s="12" t="str">
        <f t="shared" si="35"/>
        <v>Friday</v>
      </c>
      <c r="D547" s="13">
        <v>45702</v>
      </c>
      <c r="E547" s="14">
        <v>2</v>
      </c>
      <c r="F547" s="12">
        <v>10791217822</v>
      </c>
      <c r="G547" s="14" t="s">
        <v>3</v>
      </c>
      <c r="H547" s="14" t="s">
        <v>11</v>
      </c>
      <c r="I547" s="16" t="s">
        <v>64</v>
      </c>
      <c r="J547" s="14" t="str">
        <f t="shared" ca="1" si="32"/>
        <v>No</v>
      </c>
    </row>
    <row r="548" spans="1:10" x14ac:dyDescent="0.35">
      <c r="A548" s="12">
        <f t="shared" si="33"/>
        <v>7</v>
      </c>
      <c r="B548" s="12" t="str">
        <f t="shared" si="34"/>
        <v>Feb2025</v>
      </c>
      <c r="C548" s="12" t="str">
        <f t="shared" si="35"/>
        <v>Friday</v>
      </c>
      <c r="D548" s="13">
        <v>45702</v>
      </c>
      <c r="E548" s="14">
        <v>3</v>
      </c>
      <c r="F548" s="12">
        <v>10735131122</v>
      </c>
      <c r="G548" s="14" t="s">
        <v>3</v>
      </c>
      <c r="H548" s="14" t="s">
        <v>11</v>
      </c>
      <c r="I548" s="16" t="s">
        <v>16</v>
      </c>
      <c r="J548" s="14" t="str">
        <f t="shared" ca="1" si="32"/>
        <v>No</v>
      </c>
    </row>
    <row r="549" spans="1:10" x14ac:dyDescent="0.35">
      <c r="A549" s="12">
        <f t="shared" si="33"/>
        <v>7</v>
      </c>
      <c r="B549" s="12" t="str">
        <f t="shared" si="34"/>
        <v>Feb2025</v>
      </c>
      <c r="C549" s="12" t="str">
        <f t="shared" si="35"/>
        <v>Friday</v>
      </c>
      <c r="D549" s="13">
        <v>45702</v>
      </c>
      <c r="E549" s="14">
        <v>4</v>
      </c>
      <c r="F549" s="12">
        <v>10773388592</v>
      </c>
      <c r="G549" s="14" t="s">
        <v>4</v>
      </c>
      <c r="H549" s="14" t="s">
        <v>11</v>
      </c>
      <c r="I549" s="16" t="s">
        <v>29</v>
      </c>
      <c r="J549" s="14" t="str">
        <f t="shared" ca="1" si="32"/>
        <v>Yes</v>
      </c>
    </row>
    <row r="550" spans="1:10" x14ac:dyDescent="0.35">
      <c r="A550" s="12">
        <f t="shared" si="33"/>
        <v>7</v>
      </c>
      <c r="B550" s="12" t="str">
        <f t="shared" si="34"/>
        <v>Feb2025</v>
      </c>
      <c r="C550" s="12" t="str">
        <f t="shared" si="35"/>
        <v>Friday</v>
      </c>
      <c r="D550" s="13">
        <v>45702</v>
      </c>
      <c r="E550" s="14">
        <v>5</v>
      </c>
      <c r="F550" s="12">
        <v>10813056002</v>
      </c>
      <c r="G550" s="14" t="s">
        <v>4</v>
      </c>
      <c r="H550" s="14" t="s">
        <v>11</v>
      </c>
      <c r="I550" s="16" t="s">
        <v>100</v>
      </c>
      <c r="J550" s="14" t="str">
        <f t="shared" ca="1" si="32"/>
        <v>No</v>
      </c>
    </row>
    <row r="551" spans="1:10" x14ac:dyDescent="0.35">
      <c r="A551" s="12">
        <f t="shared" si="33"/>
        <v>7</v>
      </c>
      <c r="B551" s="12" t="str">
        <f t="shared" si="34"/>
        <v>Feb2025</v>
      </c>
      <c r="C551" s="12" t="str">
        <f t="shared" si="35"/>
        <v>Friday</v>
      </c>
      <c r="D551" s="13">
        <v>45702</v>
      </c>
      <c r="E551" s="14">
        <v>6</v>
      </c>
      <c r="F551" s="12">
        <v>10811498492</v>
      </c>
      <c r="G551" s="14" t="s">
        <v>4</v>
      </c>
      <c r="H551" s="14" t="s">
        <v>11</v>
      </c>
      <c r="I551" s="16" t="s">
        <v>191</v>
      </c>
      <c r="J551" s="14" t="str">
        <f t="shared" ca="1" si="32"/>
        <v>No</v>
      </c>
    </row>
    <row r="552" spans="1:10" x14ac:dyDescent="0.35">
      <c r="A552" s="12">
        <f t="shared" si="33"/>
        <v>7</v>
      </c>
      <c r="B552" s="12" t="str">
        <f t="shared" si="34"/>
        <v>Feb2025</v>
      </c>
      <c r="C552" s="12" t="str">
        <f t="shared" si="35"/>
        <v>Friday</v>
      </c>
      <c r="D552" s="13">
        <v>45702</v>
      </c>
      <c r="E552" s="14">
        <v>7</v>
      </c>
      <c r="F552" s="12">
        <v>10811993642</v>
      </c>
      <c r="G552" s="14" t="s">
        <v>7</v>
      </c>
      <c r="H552" s="14" t="s">
        <v>61</v>
      </c>
      <c r="I552" s="16" t="s">
        <v>115</v>
      </c>
      <c r="J552" s="14" t="str">
        <f t="shared" ca="1" si="32"/>
        <v>Yes</v>
      </c>
    </row>
    <row r="553" spans="1:10" x14ac:dyDescent="0.35">
      <c r="A553" s="12">
        <f t="shared" si="33"/>
        <v>7</v>
      </c>
      <c r="B553" s="12" t="str">
        <f t="shared" si="34"/>
        <v>Feb2025</v>
      </c>
      <c r="C553" s="12" t="str">
        <f t="shared" si="35"/>
        <v>Friday</v>
      </c>
      <c r="D553" s="13">
        <v>45702</v>
      </c>
      <c r="E553" s="14">
        <v>8</v>
      </c>
      <c r="F553" s="12">
        <v>10812387922</v>
      </c>
      <c r="G553" s="14" t="s">
        <v>7</v>
      </c>
      <c r="H553" s="14" t="s">
        <v>21</v>
      </c>
      <c r="I553" s="16" t="s">
        <v>125</v>
      </c>
      <c r="J553" s="14" t="str">
        <f t="shared" ca="1" si="32"/>
        <v>No</v>
      </c>
    </row>
    <row r="554" spans="1:10" x14ac:dyDescent="0.35">
      <c r="A554" s="12">
        <f t="shared" si="33"/>
        <v>7</v>
      </c>
      <c r="B554" s="12" t="str">
        <f t="shared" si="34"/>
        <v>Feb2025</v>
      </c>
      <c r="C554" s="12" t="str">
        <f t="shared" si="35"/>
        <v>Friday</v>
      </c>
      <c r="D554" s="13">
        <v>45702</v>
      </c>
      <c r="E554" s="14">
        <v>9</v>
      </c>
      <c r="F554" s="12">
        <v>10131856552</v>
      </c>
      <c r="G554" s="14" t="s">
        <v>3</v>
      </c>
      <c r="H554" s="14" t="s">
        <v>11</v>
      </c>
      <c r="I554" s="16" t="s">
        <v>16</v>
      </c>
      <c r="J554" s="14" t="str">
        <f t="shared" ca="1" si="32"/>
        <v>No</v>
      </c>
    </row>
    <row r="555" spans="1:10" x14ac:dyDescent="0.35">
      <c r="A555" s="12">
        <f t="shared" si="33"/>
        <v>7</v>
      </c>
      <c r="B555" s="12" t="str">
        <f t="shared" si="34"/>
        <v>Feb2025</v>
      </c>
      <c r="C555" s="12" t="str">
        <f t="shared" si="35"/>
        <v>Friday</v>
      </c>
      <c r="D555" s="13">
        <v>45702</v>
      </c>
      <c r="E555" s="14">
        <v>10</v>
      </c>
      <c r="F555" s="12">
        <v>10811909562</v>
      </c>
      <c r="G555" s="14" t="s">
        <v>4</v>
      </c>
      <c r="H555" s="14" t="s">
        <v>11</v>
      </c>
      <c r="I555" s="16" t="s">
        <v>39</v>
      </c>
      <c r="J555" s="14" t="str">
        <f t="shared" ca="1" si="32"/>
        <v>No</v>
      </c>
    </row>
    <row r="556" spans="1:10" x14ac:dyDescent="0.35">
      <c r="A556" s="12">
        <f t="shared" si="33"/>
        <v>7</v>
      </c>
      <c r="B556" s="12" t="str">
        <f t="shared" si="34"/>
        <v>Feb2025</v>
      </c>
      <c r="C556" s="12" t="str">
        <f t="shared" si="35"/>
        <v>Friday</v>
      </c>
      <c r="D556" s="13">
        <v>45702</v>
      </c>
      <c r="E556" s="14">
        <v>11</v>
      </c>
      <c r="F556" s="12">
        <v>10811233432</v>
      </c>
      <c r="G556" s="14" t="s">
        <v>4</v>
      </c>
      <c r="H556" s="14" t="s">
        <v>11</v>
      </c>
      <c r="I556" s="16" t="s">
        <v>138</v>
      </c>
      <c r="J556" s="14" t="str">
        <f t="shared" ca="1" si="32"/>
        <v>No</v>
      </c>
    </row>
    <row r="557" spans="1:10" x14ac:dyDescent="0.35">
      <c r="A557" s="12">
        <f t="shared" si="33"/>
        <v>7</v>
      </c>
      <c r="B557" s="12" t="str">
        <f t="shared" si="34"/>
        <v>Feb2025</v>
      </c>
      <c r="C557" s="12" t="str">
        <f t="shared" si="35"/>
        <v>Friday</v>
      </c>
      <c r="D557" s="13">
        <v>45702</v>
      </c>
      <c r="E557" s="14">
        <v>12</v>
      </c>
      <c r="F557" s="12">
        <v>10747694552</v>
      </c>
      <c r="G557" s="14" t="s">
        <v>5</v>
      </c>
      <c r="H557" s="14" t="s">
        <v>21</v>
      </c>
      <c r="I557" s="16" t="s">
        <v>46</v>
      </c>
      <c r="J557" s="14" t="str">
        <f t="shared" ca="1" si="32"/>
        <v>No</v>
      </c>
    </row>
    <row r="558" spans="1:10" x14ac:dyDescent="0.35">
      <c r="A558" s="12">
        <f t="shared" si="33"/>
        <v>7</v>
      </c>
      <c r="B558" s="12" t="str">
        <f t="shared" si="34"/>
        <v>Feb2025</v>
      </c>
      <c r="C558" s="12" t="str">
        <f t="shared" si="35"/>
        <v>Friday</v>
      </c>
      <c r="D558" s="13">
        <v>45702</v>
      </c>
      <c r="E558" s="14">
        <v>13</v>
      </c>
      <c r="F558" s="12">
        <v>10811341682</v>
      </c>
      <c r="G558" s="14" t="s">
        <v>5</v>
      </c>
      <c r="H558" s="14" t="s">
        <v>21</v>
      </c>
      <c r="I558" s="16" t="s">
        <v>46</v>
      </c>
      <c r="J558" s="14" t="str">
        <f t="shared" ca="1" si="32"/>
        <v>No</v>
      </c>
    </row>
    <row r="559" spans="1:10" x14ac:dyDescent="0.35">
      <c r="A559" s="12">
        <f t="shared" si="33"/>
        <v>7</v>
      </c>
      <c r="B559" s="12" t="str">
        <f t="shared" si="34"/>
        <v>Feb2025</v>
      </c>
      <c r="C559" s="12" t="str">
        <f t="shared" si="35"/>
        <v>Friday</v>
      </c>
      <c r="D559" s="13">
        <v>45702</v>
      </c>
      <c r="E559" s="14">
        <v>14</v>
      </c>
      <c r="F559" s="12">
        <v>10812777722</v>
      </c>
      <c r="G559" s="14" t="s">
        <v>4</v>
      </c>
      <c r="H559" s="14" t="s">
        <v>61</v>
      </c>
      <c r="I559" s="16" t="s">
        <v>94</v>
      </c>
      <c r="J559" s="14" t="str">
        <f t="shared" ca="1" si="32"/>
        <v>No</v>
      </c>
    </row>
    <row r="560" spans="1:10" x14ac:dyDescent="0.35">
      <c r="A560" s="12">
        <f t="shared" si="33"/>
        <v>7</v>
      </c>
      <c r="B560" s="12" t="str">
        <f t="shared" si="34"/>
        <v>Feb2025</v>
      </c>
      <c r="C560" s="12" t="str">
        <f t="shared" si="35"/>
        <v>Friday</v>
      </c>
      <c r="D560" s="13">
        <v>45702</v>
      </c>
      <c r="E560" s="14">
        <v>15</v>
      </c>
      <c r="F560" s="12">
        <v>10810528972</v>
      </c>
      <c r="G560" s="14" t="s">
        <v>7</v>
      </c>
      <c r="H560" s="14" t="s">
        <v>21</v>
      </c>
      <c r="I560" s="16" t="s">
        <v>58</v>
      </c>
      <c r="J560" s="14" t="str">
        <f t="shared" ca="1" si="32"/>
        <v>No</v>
      </c>
    </row>
    <row r="561" spans="1:10" x14ac:dyDescent="0.35">
      <c r="A561" s="12">
        <f t="shared" si="33"/>
        <v>7</v>
      </c>
      <c r="B561" s="12" t="str">
        <f t="shared" si="34"/>
        <v>Feb2025</v>
      </c>
      <c r="C561" s="12" t="str">
        <f t="shared" si="35"/>
        <v>Friday</v>
      </c>
      <c r="D561" s="13">
        <v>45702</v>
      </c>
      <c r="E561" s="14">
        <v>16</v>
      </c>
      <c r="F561" s="12">
        <v>10798544612</v>
      </c>
      <c r="G561" s="14" t="s">
        <v>10</v>
      </c>
      <c r="H561" s="14" t="s">
        <v>21</v>
      </c>
      <c r="I561" s="16" t="s">
        <v>33</v>
      </c>
      <c r="J561" s="14" t="str">
        <f t="shared" ca="1" si="32"/>
        <v>No</v>
      </c>
    </row>
    <row r="562" spans="1:10" x14ac:dyDescent="0.35">
      <c r="A562" s="12">
        <f t="shared" si="33"/>
        <v>7</v>
      </c>
      <c r="B562" s="12" t="str">
        <f t="shared" si="34"/>
        <v>Feb2025</v>
      </c>
      <c r="C562" s="12" t="str">
        <f t="shared" si="35"/>
        <v>Friday</v>
      </c>
      <c r="D562" s="13">
        <v>45702</v>
      </c>
      <c r="E562" s="14">
        <v>17</v>
      </c>
      <c r="F562" s="12">
        <v>10792316432</v>
      </c>
      <c r="G562" s="14" t="s">
        <v>3</v>
      </c>
      <c r="H562" s="14" t="s">
        <v>11</v>
      </c>
      <c r="I562" s="16" t="s">
        <v>16</v>
      </c>
      <c r="J562" s="14" t="str">
        <f t="shared" ca="1" si="32"/>
        <v>No</v>
      </c>
    </row>
    <row r="563" spans="1:10" x14ac:dyDescent="0.35">
      <c r="A563" s="12">
        <f t="shared" si="33"/>
        <v>7</v>
      </c>
      <c r="B563" s="12" t="str">
        <f t="shared" si="34"/>
        <v>Feb2025</v>
      </c>
      <c r="C563" s="12" t="str">
        <f t="shared" si="35"/>
        <v>Friday</v>
      </c>
      <c r="D563" s="13">
        <v>45702</v>
      </c>
      <c r="E563" s="14">
        <v>18</v>
      </c>
      <c r="F563" s="12">
        <v>10811234382</v>
      </c>
      <c r="G563" s="14" t="s">
        <v>4</v>
      </c>
      <c r="H563" s="14" t="s">
        <v>21</v>
      </c>
      <c r="I563" s="16" t="s">
        <v>25</v>
      </c>
      <c r="J563" s="14" t="str">
        <f t="shared" ca="1" si="32"/>
        <v>No</v>
      </c>
    </row>
    <row r="564" spans="1:10" x14ac:dyDescent="0.35">
      <c r="A564" s="12">
        <f t="shared" si="33"/>
        <v>7</v>
      </c>
      <c r="B564" s="12" t="str">
        <f t="shared" si="34"/>
        <v>Feb2025</v>
      </c>
      <c r="C564" s="12" t="str">
        <f t="shared" si="35"/>
        <v>Friday</v>
      </c>
      <c r="D564" s="13">
        <v>45702</v>
      </c>
      <c r="E564" s="14">
        <v>19</v>
      </c>
      <c r="F564" s="12">
        <v>10812911452</v>
      </c>
      <c r="G564" s="14" t="s">
        <v>3</v>
      </c>
      <c r="H564" s="14" t="s">
        <v>11</v>
      </c>
      <c r="I564" s="16" t="s">
        <v>16</v>
      </c>
      <c r="J564" s="14" t="str">
        <f t="shared" ca="1" si="32"/>
        <v>No</v>
      </c>
    </row>
    <row r="565" spans="1:10" x14ac:dyDescent="0.35">
      <c r="A565" s="12">
        <f t="shared" si="33"/>
        <v>7</v>
      </c>
      <c r="B565" s="12" t="str">
        <f t="shared" si="34"/>
        <v>Feb2025</v>
      </c>
      <c r="C565" s="12" t="str">
        <f t="shared" si="35"/>
        <v>Friday</v>
      </c>
      <c r="D565" s="13">
        <v>45702</v>
      </c>
      <c r="E565" s="14">
        <v>20</v>
      </c>
      <c r="F565" s="12">
        <v>10813365652</v>
      </c>
      <c r="G565" s="14" t="s">
        <v>3</v>
      </c>
      <c r="H565" s="14" t="s">
        <v>11</v>
      </c>
      <c r="I565" s="16" t="s">
        <v>34</v>
      </c>
      <c r="J565" s="14" t="str">
        <f t="shared" ca="1" si="32"/>
        <v>Yes</v>
      </c>
    </row>
    <row r="566" spans="1:10" x14ac:dyDescent="0.35">
      <c r="A566" s="12">
        <f t="shared" si="33"/>
        <v>7</v>
      </c>
      <c r="B566" s="12" t="str">
        <f t="shared" si="34"/>
        <v>Feb2025</v>
      </c>
      <c r="C566" s="12" t="str">
        <f t="shared" si="35"/>
        <v>Friday</v>
      </c>
      <c r="D566" s="13">
        <v>45702</v>
      </c>
      <c r="E566" s="14">
        <v>21</v>
      </c>
      <c r="F566" s="12">
        <v>10812317382</v>
      </c>
      <c r="G566" s="14" t="s">
        <v>7</v>
      </c>
      <c r="H566" s="14" t="s">
        <v>11</v>
      </c>
      <c r="I566" s="16" t="s">
        <v>192</v>
      </c>
      <c r="J566" s="14" t="str">
        <f t="shared" ca="1" si="32"/>
        <v>No</v>
      </c>
    </row>
    <row r="567" spans="1:10" x14ac:dyDescent="0.35">
      <c r="A567" s="12">
        <f t="shared" si="33"/>
        <v>7</v>
      </c>
      <c r="B567" s="12" t="str">
        <f t="shared" si="34"/>
        <v>Feb2025</v>
      </c>
      <c r="C567" s="12" t="str">
        <f t="shared" si="35"/>
        <v>Friday</v>
      </c>
      <c r="D567" s="13">
        <v>45702</v>
      </c>
      <c r="E567" s="14">
        <v>22</v>
      </c>
      <c r="F567" s="12">
        <v>10800343952</v>
      </c>
      <c r="G567" s="14" t="s">
        <v>3</v>
      </c>
      <c r="H567" s="14" t="s">
        <v>11</v>
      </c>
      <c r="I567" s="16" t="s">
        <v>16</v>
      </c>
      <c r="J567" s="14" t="str">
        <f t="shared" ca="1" si="32"/>
        <v>No</v>
      </c>
    </row>
    <row r="568" spans="1:10" x14ac:dyDescent="0.35">
      <c r="A568" s="12">
        <f t="shared" si="33"/>
        <v>7</v>
      </c>
      <c r="B568" s="12" t="str">
        <f t="shared" si="34"/>
        <v>Feb2025</v>
      </c>
      <c r="C568" s="12" t="str">
        <f t="shared" si="35"/>
        <v>Friday</v>
      </c>
      <c r="D568" s="13">
        <v>45702</v>
      </c>
      <c r="E568" s="14">
        <v>23</v>
      </c>
      <c r="F568" s="12">
        <v>10792201102</v>
      </c>
      <c r="G568" s="14" t="s">
        <v>4</v>
      </c>
      <c r="H568" s="14" t="s">
        <v>61</v>
      </c>
      <c r="I568" s="16" t="s">
        <v>103</v>
      </c>
      <c r="J568" s="14" t="str">
        <f t="shared" ca="1" si="32"/>
        <v>No</v>
      </c>
    </row>
    <row r="569" spans="1:10" x14ac:dyDescent="0.35">
      <c r="A569" s="12">
        <f t="shared" si="33"/>
        <v>7</v>
      </c>
      <c r="B569" s="12" t="str">
        <f t="shared" si="34"/>
        <v>Feb2025</v>
      </c>
      <c r="C569" s="12" t="str">
        <f t="shared" si="35"/>
        <v>Friday</v>
      </c>
      <c r="D569" s="13">
        <v>45702</v>
      </c>
      <c r="E569" s="14">
        <v>24</v>
      </c>
      <c r="F569" s="12">
        <v>10813079902</v>
      </c>
      <c r="G569" s="14" t="s">
        <v>5</v>
      </c>
      <c r="H569" s="14" t="s">
        <v>21</v>
      </c>
      <c r="I569" s="16" t="s">
        <v>35</v>
      </c>
      <c r="J569" s="14" t="str">
        <f t="shared" ca="1" si="32"/>
        <v>Yes</v>
      </c>
    </row>
    <row r="570" spans="1:10" x14ac:dyDescent="0.35">
      <c r="A570" s="12">
        <f t="shared" si="33"/>
        <v>7</v>
      </c>
      <c r="B570" s="12" t="str">
        <f t="shared" si="34"/>
        <v>Feb2025</v>
      </c>
      <c r="C570" s="12" t="str">
        <f t="shared" si="35"/>
        <v>Friday</v>
      </c>
      <c r="D570" s="13">
        <v>45702</v>
      </c>
      <c r="E570" s="14">
        <v>25</v>
      </c>
      <c r="F570" s="12">
        <v>10794946202</v>
      </c>
      <c r="G570" s="14" t="s">
        <v>3</v>
      </c>
      <c r="H570" s="14" t="s">
        <v>11</v>
      </c>
      <c r="I570" s="16" t="s">
        <v>16</v>
      </c>
      <c r="J570" s="14" t="str">
        <f t="shared" ca="1" si="32"/>
        <v>No</v>
      </c>
    </row>
    <row r="571" spans="1:10" x14ac:dyDescent="0.35">
      <c r="A571" s="12">
        <f t="shared" si="33"/>
        <v>8</v>
      </c>
      <c r="B571" s="12" t="str">
        <f t="shared" si="34"/>
        <v>Feb2025</v>
      </c>
      <c r="C571" s="12" t="str">
        <f t="shared" si="35"/>
        <v>Tuesday</v>
      </c>
      <c r="D571" s="13">
        <v>45706</v>
      </c>
      <c r="E571" s="14">
        <v>1</v>
      </c>
      <c r="F571" s="12">
        <v>10813775672</v>
      </c>
      <c r="G571" s="14" t="s">
        <v>4</v>
      </c>
      <c r="H571" s="14" t="s">
        <v>11</v>
      </c>
      <c r="I571" s="16" t="s">
        <v>103</v>
      </c>
      <c r="J571" s="14" t="str">
        <f t="shared" ca="1" si="32"/>
        <v>No</v>
      </c>
    </row>
    <row r="572" spans="1:10" x14ac:dyDescent="0.35">
      <c r="A572" s="12">
        <f t="shared" si="33"/>
        <v>8</v>
      </c>
      <c r="B572" s="12" t="str">
        <f t="shared" si="34"/>
        <v>Feb2025</v>
      </c>
      <c r="C572" s="12" t="str">
        <f t="shared" si="35"/>
        <v>Tuesday</v>
      </c>
      <c r="D572" s="13">
        <v>45706</v>
      </c>
      <c r="E572" s="14">
        <v>2</v>
      </c>
      <c r="F572" s="12">
        <v>10824986192</v>
      </c>
      <c r="G572" s="14" t="s">
        <v>4</v>
      </c>
      <c r="H572" s="14" t="s">
        <v>11</v>
      </c>
      <c r="I572" s="16" t="s">
        <v>41</v>
      </c>
      <c r="J572" s="14" t="str">
        <f t="shared" ca="1" si="32"/>
        <v>No</v>
      </c>
    </row>
    <row r="573" spans="1:10" x14ac:dyDescent="0.35">
      <c r="A573" s="12">
        <f t="shared" si="33"/>
        <v>8</v>
      </c>
      <c r="B573" s="12" t="str">
        <f t="shared" si="34"/>
        <v>Feb2025</v>
      </c>
      <c r="C573" s="12" t="str">
        <f t="shared" si="35"/>
        <v>Tuesday</v>
      </c>
      <c r="D573" s="13">
        <v>45706</v>
      </c>
      <c r="E573" s="14">
        <v>3</v>
      </c>
      <c r="F573" s="12">
        <v>10824712522</v>
      </c>
      <c r="G573" s="14" t="s">
        <v>4</v>
      </c>
      <c r="H573" s="14" t="s">
        <v>61</v>
      </c>
      <c r="I573" s="16" t="s">
        <v>96</v>
      </c>
      <c r="J573" s="14" t="str">
        <f t="shared" ca="1" si="32"/>
        <v>No</v>
      </c>
    </row>
    <row r="574" spans="1:10" x14ac:dyDescent="0.35">
      <c r="A574" s="12">
        <f t="shared" si="33"/>
        <v>8</v>
      </c>
      <c r="B574" s="12" t="str">
        <f t="shared" si="34"/>
        <v>Feb2025</v>
      </c>
      <c r="C574" s="12" t="str">
        <f t="shared" si="35"/>
        <v>Tuesday</v>
      </c>
      <c r="D574" s="13">
        <v>45706</v>
      </c>
      <c r="E574" s="14">
        <v>4</v>
      </c>
      <c r="F574" s="12">
        <v>10825200372</v>
      </c>
      <c r="G574" s="14" t="s">
        <v>7</v>
      </c>
      <c r="H574" s="14" t="s">
        <v>11</v>
      </c>
      <c r="I574" s="16" t="s">
        <v>21</v>
      </c>
      <c r="J574" s="14" t="str">
        <f t="shared" ca="1" si="32"/>
        <v>No</v>
      </c>
    </row>
    <row r="575" spans="1:10" x14ac:dyDescent="0.35">
      <c r="A575" s="12">
        <f t="shared" si="33"/>
        <v>8</v>
      </c>
      <c r="B575" s="12" t="str">
        <f t="shared" si="34"/>
        <v>Feb2025</v>
      </c>
      <c r="C575" s="12" t="str">
        <f t="shared" si="35"/>
        <v>Tuesday</v>
      </c>
      <c r="D575" s="13">
        <v>45706</v>
      </c>
      <c r="E575" s="14">
        <v>5</v>
      </c>
      <c r="F575" s="12">
        <v>10808092422</v>
      </c>
      <c r="G575" s="14" t="s">
        <v>3</v>
      </c>
      <c r="H575" s="14" t="s">
        <v>11</v>
      </c>
      <c r="I575" s="16" t="s">
        <v>19</v>
      </c>
      <c r="J575" s="14" t="str">
        <f t="shared" ca="1" si="32"/>
        <v>No</v>
      </c>
    </row>
    <row r="576" spans="1:10" x14ac:dyDescent="0.35">
      <c r="A576" s="12">
        <f t="shared" si="33"/>
        <v>8</v>
      </c>
      <c r="B576" s="12" t="str">
        <f t="shared" si="34"/>
        <v>Feb2025</v>
      </c>
      <c r="C576" s="12" t="str">
        <f t="shared" si="35"/>
        <v>Tuesday</v>
      </c>
      <c r="D576" s="13">
        <v>45706</v>
      </c>
      <c r="E576" s="14">
        <v>6</v>
      </c>
      <c r="F576" s="12">
        <v>10824712522</v>
      </c>
      <c r="G576" s="14" t="s">
        <v>7</v>
      </c>
      <c r="H576" s="14" t="s">
        <v>61</v>
      </c>
      <c r="I576" s="16" t="s">
        <v>193</v>
      </c>
      <c r="J576" s="14" t="str">
        <f t="shared" ca="1" si="32"/>
        <v>No</v>
      </c>
    </row>
    <row r="577" spans="1:10" x14ac:dyDescent="0.35">
      <c r="A577" s="12">
        <f t="shared" si="33"/>
        <v>8</v>
      </c>
      <c r="B577" s="12" t="str">
        <f t="shared" si="34"/>
        <v>Feb2025</v>
      </c>
      <c r="C577" s="12" t="str">
        <f t="shared" si="35"/>
        <v>Tuesday</v>
      </c>
      <c r="D577" s="13">
        <v>45706</v>
      </c>
      <c r="E577" s="14">
        <v>7</v>
      </c>
      <c r="F577" s="12">
        <v>10825019502</v>
      </c>
      <c r="G577" s="14" t="s">
        <v>4</v>
      </c>
      <c r="H577" s="14" t="s">
        <v>61</v>
      </c>
      <c r="I577" s="16" t="s">
        <v>178</v>
      </c>
      <c r="J577" s="14" t="str">
        <f t="shared" ca="1" si="32"/>
        <v>No</v>
      </c>
    </row>
    <row r="578" spans="1:10" x14ac:dyDescent="0.35">
      <c r="A578" s="12">
        <f t="shared" si="33"/>
        <v>8</v>
      </c>
      <c r="B578" s="12" t="str">
        <f t="shared" si="34"/>
        <v>Feb2025</v>
      </c>
      <c r="C578" s="12" t="str">
        <f t="shared" si="35"/>
        <v>Tuesday</v>
      </c>
      <c r="D578" s="13">
        <v>45706</v>
      </c>
      <c r="E578" s="14">
        <v>8</v>
      </c>
      <c r="F578" s="12">
        <v>10825367022</v>
      </c>
      <c r="G578" s="14" t="s">
        <v>5</v>
      </c>
      <c r="H578" s="14" t="s">
        <v>21</v>
      </c>
      <c r="I578" s="16" t="s">
        <v>194</v>
      </c>
      <c r="J578" s="14" t="str">
        <f t="shared" ref="J578:J641" ca="1" si="36">IF(RAND()&lt;0.2,"Yes","No")</f>
        <v>No</v>
      </c>
    </row>
    <row r="579" spans="1:10" x14ac:dyDescent="0.35">
      <c r="A579" s="12">
        <f t="shared" ref="A579:A642" si="37">WEEKNUM(D579)</f>
        <v>8</v>
      </c>
      <c r="B579" s="12" t="str">
        <f t="shared" ref="B579:B642" si="38">TEXT(D579,"MMMYYYY")</f>
        <v>Feb2025</v>
      </c>
      <c r="C579" s="12" t="str">
        <f t="shared" ref="C579:C642" si="39">TEXT(D579,"dddd")</f>
        <v>Tuesday</v>
      </c>
      <c r="D579" s="13">
        <v>45706</v>
      </c>
      <c r="E579" s="14">
        <v>9</v>
      </c>
      <c r="F579" s="12">
        <v>10825600832</v>
      </c>
      <c r="G579" s="14" t="s">
        <v>7</v>
      </c>
      <c r="H579" s="14" t="s">
        <v>61</v>
      </c>
      <c r="I579" s="16" t="s">
        <v>95</v>
      </c>
      <c r="J579" s="14" t="str">
        <f t="shared" ca="1" si="36"/>
        <v>Yes</v>
      </c>
    </row>
    <row r="580" spans="1:10" x14ac:dyDescent="0.35">
      <c r="A580" s="12">
        <f t="shared" si="37"/>
        <v>8</v>
      </c>
      <c r="B580" s="12" t="str">
        <f t="shared" si="38"/>
        <v>Feb2025</v>
      </c>
      <c r="C580" s="12" t="str">
        <f t="shared" si="39"/>
        <v>Tuesday</v>
      </c>
      <c r="D580" s="13">
        <v>45706</v>
      </c>
      <c r="E580" s="14">
        <v>10</v>
      </c>
      <c r="F580" s="12">
        <v>10791558752</v>
      </c>
      <c r="G580" s="14" t="s">
        <v>5</v>
      </c>
      <c r="H580" s="14" t="s">
        <v>11</v>
      </c>
      <c r="I580" s="16" t="s">
        <v>92</v>
      </c>
      <c r="J580" s="14" t="str">
        <f t="shared" ca="1" si="36"/>
        <v>Yes</v>
      </c>
    </row>
    <row r="581" spans="1:10" x14ac:dyDescent="0.35">
      <c r="A581" s="12">
        <f t="shared" si="37"/>
        <v>8</v>
      </c>
      <c r="B581" s="12" t="str">
        <f t="shared" si="38"/>
        <v>Feb2025</v>
      </c>
      <c r="C581" s="12" t="str">
        <f t="shared" si="39"/>
        <v>Tuesday</v>
      </c>
      <c r="D581" s="13">
        <v>45706</v>
      </c>
      <c r="E581" s="14">
        <v>11</v>
      </c>
      <c r="F581" s="12">
        <v>10825777092</v>
      </c>
      <c r="G581" s="14" t="s">
        <v>7</v>
      </c>
      <c r="H581" s="14" t="s">
        <v>11</v>
      </c>
      <c r="I581" s="16" t="s">
        <v>47</v>
      </c>
      <c r="J581" s="14" t="str">
        <f t="shared" ca="1" si="36"/>
        <v>No</v>
      </c>
    </row>
    <row r="582" spans="1:10" x14ac:dyDescent="0.35">
      <c r="A582" s="12">
        <f t="shared" si="37"/>
        <v>8</v>
      </c>
      <c r="B582" s="12" t="str">
        <f t="shared" si="38"/>
        <v>Feb2025</v>
      </c>
      <c r="C582" s="12" t="str">
        <f t="shared" si="39"/>
        <v>Tuesday</v>
      </c>
      <c r="D582" s="13">
        <v>45706</v>
      </c>
      <c r="E582" s="14">
        <v>12</v>
      </c>
      <c r="F582" s="12">
        <v>10825706522</v>
      </c>
      <c r="G582" s="14" t="s">
        <v>4</v>
      </c>
      <c r="H582" s="14" t="s">
        <v>11</v>
      </c>
      <c r="I582" s="16" t="s">
        <v>92</v>
      </c>
      <c r="J582" s="14" t="str">
        <f t="shared" ca="1" si="36"/>
        <v>Yes</v>
      </c>
    </row>
    <row r="583" spans="1:10" x14ac:dyDescent="0.35">
      <c r="A583" s="12">
        <f t="shared" si="37"/>
        <v>8</v>
      </c>
      <c r="B583" s="12" t="str">
        <f t="shared" si="38"/>
        <v>Feb2025</v>
      </c>
      <c r="C583" s="12" t="str">
        <f t="shared" si="39"/>
        <v>Tuesday</v>
      </c>
      <c r="D583" s="13">
        <v>45706</v>
      </c>
      <c r="E583" s="14">
        <v>13</v>
      </c>
      <c r="F583" s="12">
        <v>10825737412</v>
      </c>
      <c r="G583" s="14" t="s">
        <v>7</v>
      </c>
      <c r="H583" s="14" t="s">
        <v>61</v>
      </c>
      <c r="I583" s="16" t="s">
        <v>95</v>
      </c>
      <c r="J583" s="14" t="str">
        <f t="shared" ca="1" si="36"/>
        <v>No</v>
      </c>
    </row>
    <row r="584" spans="1:10" x14ac:dyDescent="0.35">
      <c r="A584" s="12">
        <f t="shared" si="37"/>
        <v>8</v>
      </c>
      <c r="B584" s="12" t="str">
        <f t="shared" si="38"/>
        <v>Feb2025</v>
      </c>
      <c r="C584" s="12" t="str">
        <f t="shared" si="39"/>
        <v>Tuesday</v>
      </c>
      <c r="D584" s="13">
        <v>45706</v>
      </c>
      <c r="E584" s="14">
        <v>14</v>
      </c>
      <c r="F584" s="12">
        <v>10826252872</v>
      </c>
      <c r="G584" s="14" t="s">
        <v>4</v>
      </c>
      <c r="H584" s="14" t="s">
        <v>61</v>
      </c>
      <c r="I584" s="16" t="s">
        <v>189</v>
      </c>
      <c r="J584" s="14" t="str">
        <f t="shared" ca="1" si="36"/>
        <v>No</v>
      </c>
    </row>
    <row r="585" spans="1:10" x14ac:dyDescent="0.35">
      <c r="A585" s="12">
        <f t="shared" si="37"/>
        <v>8</v>
      </c>
      <c r="B585" s="12" t="str">
        <f t="shared" si="38"/>
        <v>Feb2025</v>
      </c>
      <c r="C585" s="12" t="str">
        <f t="shared" si="39"/>
        <v>Tuesday</v>
      </c>
      <c r="D585" s="13">
        <v>45706</v>
      </c>
      <c r="E585" s="14">
        <v>15</v>
      </c>
      <c r="F585" s="12">
        <v>10758950502</v>
      </c>
      <c r="G585" s="14" t="s">
        <v>5</v>
      </c>
      <c r="H585" s="14" t="s">
        <v>21</v>
      </c>
      <c r="I585" s="16" t="s">
        <v>51</v>
      </c>
      <c r="J585" s="14" t="str">
        <f t="shared" ca="1" si="36"/>
        <v>No</v>
      </c>
    </row>
    <row r="586" spans="1:10" x14ac:dyDescent="0.35">
      <c r="A586" s="12">
        <f t="shared" si="37"/>
        <v>8</v>
      </c>
      <c r="B586" s="12" t="str">
        <f t="shared" si="38"/>
        <v>Feb2025</v>
      </c>
      <c r="C586" s="12" t="str">
        <f t="shared" si="39"/>
        <v>Tuesday</v>
      </c>
      <c r="D586" s="13">
        <v>45706</v>
      </c>
      <c r="E586" s="14">
        <v>16</v>
      </c>
      <c r="F586" s="12">
        <v>10825852902</v>
      </c>
      <c r="G586" s="14" t="s">
        <v>4</v>
      </c>
      <c r="H586" s="14" t="s">
        <v>61</v>
      </c>
      <c r="I586" s="16" t="s">
        <v>20</v>
      </c>
      <c r="J586" s="14" t="str">
        <f t="shared" ca="1" si="36"/>
        <v>No</v>
      </c>
    </row>
    <row r="587" spans="1:10" x14ac:dyDescent="0.35">
      <c r="A587" s="12">
        <f t="shared" si="37"/>
        <v>8</v>
      </c>
      <c r="B587" s="12" t="str">
        <f t="shared" si="38"/>
        <v>Feb2025</v>
      </c>
      <c r="C587" s="12" t="str">
        <f t="shared" si="39"/>
        <v>Tuesday</v>
      </c>
      <c r="D587" s="13">
        <v>45706</v>
      </c>
      <c r="E587" s="14">
        <v>17</v>
      </c>
      <c r="F587" s="12">
        <v>10825838022</v>
      </c>
      <c r="G587" s="14" t="s">
        <v>4</v>
      </c>
      <c r="H587" s="14" t="s">
        <v>21</v>
      </c>
      <c r="I587" s="16" t="s">
        <v>76</v>
      </c>
      <c r="J587" s="14" t="str">
        <f t="shared" ca="1" si="36"/>
        <v>No</v>
      </c>
    </row>
    <row r="588" spans="1:10" x14ac:dyDescent="0.35">
      <c r="A588" s="12">
        <f t="shared" si="37"/>
        <v>8</v>
      </c>
      <c r="B588" s="12" t="str">
        <f t="shared" si="38"/>
        <v>Feb2025</v>
      </c>
      <c r="C588" s="12" t="str">
        <f t="shared" si="39"/>
        <v>Tuesday</v>
      </c>
      <c r="D588" s="13">
        <v>45706</v>
      </c>
      <c r="E588" s="14">
        <v>18</v>
      </c>
      <c r="F588" s="12">
        <v>10825257962</v>
      </c>
      <c r="G588" s="14" t="s">
        <v>4</v>
      </c>
      <c r="H588" s="14" t="s">
        <v>11</v>
      </c>
      <c r="I588" s="16" t="s">
        <v>107</v>
      </c>
      <c r="J588" s="14" t="str">
        <f t="shared" ca="1" si="36"/>
        <v>No</v>
      </c>
    </row>
    <row r="589" spans="1:10" x14ac:dyDescent="0.35">
      <c r="A589" s="12">
        <f t="shared" si="37"/>
        <v>8</v>
      </c>
      <c r="B589" s="12" t="str">
        <f t="shared" si="38"/>
        <v>Feb2025</v>
      </c>
      <c r="C589" s="12" t="str">
        <f t="shared" si="39"/>
        <v>Tuesday</v>
      </c>
      <c r="D589" s="13">
        <v>45706</v>
      </c>
      <c r="E589" s="14">
        <v>19</v>
      </c>
      <c r="F589" s="12">
        <v>10826095512</v>
      </c>
      <c r="G589" s="14" t="s">
        <v>5</v>
      </c>
      <c r="H589" s="14" t="s">
        <v>21</v>
      </c>
      <c r="I589" s="16" t="s">
        <v>36</v>
      </c>
      <c r="J589" s="14" t="str">
        <f t="shared" ca="1" si="36"/>
        <v>No</v>
      </c>
    </row>
    <row r="590" spans="1:10" x14ac:dyDescent="0.35">
      <c r="A590" s="12">
        <f t="shared" si="37"/>
        <v>8</v>
      </c>
      <c r="B590" s="12" t="str">
        <f t="shared" si="38"/>
        <v>Feb2025</v>
      </c>
      <c r="C590" s="12" t="str">
        <f t="shared" si="39"/>
        <v>Tuesday</v>
      </c>
      <c r="D590" s="13">
        <v>45706</v>
      </c>
      <c r="E590" s="14">
        <v>20</v>
      </c>
      <c r="F590" s="12">
        <v>10756635812</v>
      </c>
      <c r="G590" s="14" t="s">
        <v>7</v>
      </c>
      <c r="H590" s="14" t="s">
        <v>21</v>
      </c>
      <c r="I590" s="16" t="s">
        <v>82</v>
      </c>
      <c r="J590" s="14" t="str">
        <f t="shared" ca="1" si="36"/>
        <v>No</v>
      </c>
    </row>
    <row r="591" spans="1:10" x14ac:dyDescent="0.35">
      <c r="A591" s="12">
        <f t="shared" si="37"/>
        <v>8</v>
      </c>
      <c r="B591" s="12" t="str">
        <f t="shared" si="38"/>
        <v>Feb2025</v>
      </c>
      <c r="C591" s="12" t="str">
        <f t="shared" si="39"/>
        <v>Tuesday</v>
      </c>
      <c r="D591" s="13">
        <v>45706</v>
      </c>
      <c r="E591" s="14">
        <v>21</v>
      </c>
      <c r="F591" s="12">
        <v>10811607022</v>
      </c>
      <c r="G591" s="14" t="s">
        <v>3</v>
      </c>
      <c r="H591" s="14" t="s">
        <v>11</v>
      </c>
      <c r="I591" s="16" t="s">
        <v>16</v>
      </c>
      <c r="J591" s="14" t="str">
        <f t="shared" ca="1" si="36"/>
        <v>No</v>
      </c>
    </row>
    <row r="592" spans="1:10" x14ac:dyDescent="0.35">
      <c r="A592" s="12">
        <f t="shared" si="37"/>
        <v>8</v>
      </c>
      <c r="B592" s="12" t="str">
        <f t="shared" si="38"/>
        <v>Feb2025</v>
      </c>
      <c r="C592" s="12" t="str">
        <f t="shared" si="39"/>
        <v>Tuesday</v>
      </c>
      <c r="D592" s="13">
        <v>45706</v>
      </c>
      <c r="E592" s="14">
        <v>22</v>
      </c>
      <c r="F592" s="12">
        <v>10823682182</v>
      </c>
      <c r="G592" s="14" t="s">
        <v>4</v>
      </c>
      <c r="H592" s="14" t="s">
        <v>11</v>
      </c>
      <c r="I592" s="16" t="s">
        <v>64</v>
      </c>
      <c r="J592" s="14" t="str">
        <f t="shared" ca="1" si="36"/>
        <v>Yes</v>
      </c>
    </row>
    <row r="593" spans="1:10" x14ac:dyDescent="0.35">
      <c r="A593" s="12">
        <f t="shared" si="37"/>
        <v>8</v>
      </c>
      <c r="B593" s="12" t="str">
        <f t="shared" si="38"/>
        <v>Feb2025</v>
      </c>
      <c r="C593" s="12" t="str">
        <f t="shared" si="39"/>
        <v>Tuesday</v>
      </c>
      <c r="D593" s="13">
        <v>45706</v>
      </c>
      <c r="E593" s="14">
        <v>23</v>
      </c>
      <c r="F593" s="12">
        <v>10826548892</v>
      </c>
      <c r="G593" s="14" t="s">
        <v>3</v>
      </c>
      <c r="H593" s="14" t="s">
        <v>61</v>
      </c>
      <c r="I593" s="16" t="s">
        <v>88</v>
      </c>
      <c r="J593" s="14" t="str">
        <f t="shared" ca="1" si="36"/>
        <v>No</v>
      </c>
    </row>
    <row r="594" spans="1:10" x14ac:dyDescent="0.35">
      <c r="A594" s="12">
        <f t="shared" si="37"/>
        <v>8</v>
      </c>
      <c r="B594" s="12" t="str">
        <f t="shared" si="38"/>
        <v>Feb2025</v>
      </c>
      <c r="C594" s="12" t="str">
        <f t="shared" si="39"/>
        <v>Tuesday</v>
      </c>
      <c r="D594" s="13">
        <v>45706</v>
      </c>
      <c r="E594" s="14">
        <v>24</v>
      </c>
      <c r="F594" s="12">
        <v>10826263492</v>
      </c>
      <c r="G594" s="14" t="s">
        <v>4</v>
      </c>
      <c r="H594" s="14" t="s">
        <v>61</v>
      </c>
      <c r="I594" s="16" t="s">
        <v>189</v>
      </c>
      <c r="J594" s="14" t="str">
        <f t="shared" ca="1" si="36"/>
        <v>No</v>
      </c>
    </row>
    <row r="595" spans="1:10" x14ac:dyDescent="0.35">
      <c r="A595" s="12">
        <f t="shared" si="37"/>
        <v>8</v>
      </c>
      <c r="B595" s="12" t="str">
        <f t="shared" si="38"/>
        <v>Feb2025</v>
      </c>
      <c r="C595" s="12" t="str">
        <f t="shared" si="39"/>
        <v>Tuesday</v>
      </c>
      <c r="D595" s="13">
        <v>45706</v>
      </c>
      <c r="E595" s="14">
        <v>25</v>
      </c>
      <c r="F595" s="12">
        <v>10823941962</v>
      </c>
      <c r="G595" s="14" t="s">
        <v>4</v>
      </c>
      <c r="H595" s="14" t="s">
        <v>11</v>
      </c>
      <c r="I595" s="16" t="s">
        <v>92</v>
      </c>
      <c r="J595" s="14" t="str">
        <f t="shared" ca="1" si="36"/>
        <v>No</v>
      </c>
    </row>
    <row r="596" spans="1:10" x14ac:dyDescent="0.35">
      <c r="A596" s="12">
        <f t="shared" si="37"/>
        <v>8</v>
      </c>
      <c r="B596" s="12" t="str">
        <f t="shared" si="38"/>
        <v>Feb2025</v>
      </c>
      <c r="C596" s="12" t="str">
        <f t="shared" si="39"/>
        <v>Tuesday</v>
      </c>
      <c r="D596" s="13">
        <v>45706</v>
      </c>
      <c r="E596" s="14">
        <v>26</v>
      </c>
      <c r="F596" s="12">
        <v>10820903392</v>
      </c>
      <c r="G596" s="14" t="s">
        <v>3</v>
      </c>
      <c r="H596" s="14" t="s">
        <v>11</v>
      </c>
      <c r="I596" s="16" t="s">
        <v>16</v>
      </c>
      <c r="J596" s="14" t="str">
        <f t="shared" ca="1" si="36"/>
        <v>Yes</v>
      </c>
    </row>
    <row r="597" spans="1:10" x14ac:dyDescent="0.35">
      <c r="A597" s="12">
        <f t="shared" si="37"/>
        <v>8</v>
      </c>
      <c r="B597" s="12" t="str">
        <f t="shared" si="38"/>
        <v>Feb2025</v>
      </c>
      <c r="C597" s="12" t="str">
        <f t="shared" si="39"/>
        <v>Tuesday</v>
      </c>
      <c r="D597" s="13">
        <v>45706</v>
      </c>
      <c r="E597" s="14">
        <v>27</v>
      </c>
      <c r="F597" s="12">
        <v>10822775072</v>
      </c>
      <c r="G597" s="14" t="s">
        <v>4</v>
      </c>
      <c r="H597" s="14" t="s">
        <v>21</v>
      </c>
      <c r="I597" s="16" t="s">
        <v>25</v>
      </c>
      <c r="J597" s="14" t="str">
        <f t="shared" ca="1" si="36"/>
        <v>No</v>
      </c>
    </row>
    <row r="598" spans="1:10" x14ac:dyDescent="0.35">
      <c r="A598" s="12">
        <f t="shared" si="37"/>
        <v>8</v>
      </c>
      <c r="B598" s="12" t="str">
        <f t="shared" si="38"/>
        <v>Feb2025</v>
      </c>
      <c r="C598" s="12" t="str">
        <f t="shared" si="39"/>
        <v>Tuesday</v>
      </c>
      <c r="D598" s="13">
        <v>45706</v>
      </c>
      <c r="E598" s="14">
        <v>28</v>
      </c>
      <c r="F598" s="12">
        <v>10826524042</v>
      </c>
      <c r="G598" s="14" t="s">
        <v>4</v>
      </c>
      <c r="H598" s="14" t="s">
        <v>61</v>
      </c>
      <c r="I598" s="16" t="s">
        <v>38</v>
      </c>
      <c r="J598" s="14" t="str">
        <f t="shared" ca="1" si="36"/>
        <v>No</v>
      </c>
    </row>
    <row r="599" spans="1:10" x14ac:dyDescent="0.35">
      <c r="A599" s="12">
        <f t="shared" si="37"/>
        <v>8</v>
      </c>
      <c r="B599" s="12" t="str">
        <f t="shared" si="38"/>
        <v>Feb2025</v>
      </c>
      <c r="C599" s="12" t="str">
        <f t="shared" si="39"/>
        <v>Tuesday</v>
      </c>
      <c r="D599" s="13">
        <v>45706</v>
      </c>
      <c r="E599" s="14">
        <v>29</v>
      </c>
      <c r="F599" s="12">
        <v>10653525222</v>
      </c>
      <c r="G599" s="14" t="s">
        <v>3</v>
      </c>
      <c r="H599" s="14" t="s">
        <v>61</v>
      </c>
      <c r="I599" s="16" t="s">
        <v>16</v>
      </c>
      <c r="J599" s="14" t="str">
        <f t="shared" ca="1" si="36"/>
        <v>Yes</v>
      </c>
    </row>
    <row r="600" spans="1:10" x14ac:dyDescent="0.35">
      <c r="A600" s="12">
        <f t="shared" si="37"/>
        <v>8</v>
      </c>
      <c r="B600" s="12" t="str">
        <f t="shared" si="38"/>
        <v>Feb2025</v>
      </c>
      <c r="C600" s="12" t="str">
        <f t="shared" si="39"/>
        <v>Tuesday</v>
      </c>
      <c r="D600" s="13">
        <v>45706</v>
      </c>
      <c r="E600" s="14">
        <v>30</v>
      </c>
      <c r="F600" s="12">
        <v>10826447382</v>
      </c>
      <c r="G600" s="14" t="s">
        <v>7</v>
      </c>
      <c r="H600" s="14" t="s">
        <v>11</v>
      </c>
      <c r="I600" s="16" t="s">
        <v>89</v>
      </c>
      <c r="J600" s="14" t="str">
        <f t="shared" ca="1" si="36"/>
        <v>No</v>
      </c>
    </row>
    <row r="601" spans="1:10" x14ac:dyDescent="0.35">
      <c r="A601" s="12">
        <f t="shared" si="37"/>
        <v>8</v>
      </c>
      <c r="B601" s="12" t="str">
        <f t="shared" si="38"/>
        <v>Feb2025</v>
      </c>
      <c r="C601" s="12" t="str">
        <f t="shared" si="39"/>
        <v>Tuesday</v>
      </c>
      <c r="D601" s="13">
        <v>45706</v>
      </c>
      <c r="E601" s="14">
        <v>31</v>
      </c>
      <c r="F601" s="12">
        <v>10783394872</v>
      </c>
      <c r="G601" s="14" t="s">
        <v>5</v>
      </c>
      <c r="H601" s="14" t="s">
        <v>21</v>
      </c>
      <c r="I601" s="16" t="s">
        <v>36</v>
      </c>
      <c r="J601" s="14" t="str">
        <f t="shared" ca="1" si="36"/>
        <v>No</v>
      </c>
    </row>
    <row r="602" spans="1:10" x14ac:dyDescent="0.35">
      <c r="A602" s="12">
        <f t="shared" si="37"/>
        <v>8</v>
      </c>
      <c r="B602" s="12" t="str">
        <f t="shared" si="38"/>
        <v>Feb2025</v>
      </c>
      <c r="C602" s="12" t="str">
        <f t="shared" si="39"/>
        <v>Wednesday</v>
      </c>
      <c r="D602" s="13">
        <v>45707</v>
      </c>
      <c r="E602" s="14">
        <v>1</v>
      </c>
      <c r="F602" s="12">
        <v>10824402642</v>
      </c>
      <c r="G602" s="14" t="s">
        <v>5</v>
      </c>
      <c r="H602" s="14" t="s">
        <v>11</v>
      </c>
      <c r="I602" s="16" t="s">
        <v>46</v>
      </c>
      <c r="J602" s="14" t="str">
        <f t="shared" ca="1" si="36"/>
        <v>No</v>
      </c>
    </row>
    <row r="603" spans="1:10" x14ac:dyDescent="0.35">
      <c r="A603" s="12">
        <f t="shared" si="37"/>
        <v>8</v>
      </c>
      <c r="B603" s="12" t="str">
        <f t="shared" si="38"/>
        <v>Feb2025</v>
      </c>
      <c r="C603" s="12" t="str">
        <f t="shared" si="39"/>
        <v>Wednesday</v>
      </c>
      <c r="D603" s="13">
        <v>45707</v>
      </c>
      <c r="E603" s="14">
        <v>2</v>
      </c>
      <c r="F603" s="12">
        <v>10811739142</v>
      </c>
      <c r="G603" s="14" t="s">
        <v>4</v>
      </c>
      <c r="H603" s="14" t="s">
        <v>11</v>
      </c>
      <c r="I603" s="16" t="s">
        <v>103</v>
      </c>
      <c r="J603" s="14" t="str">
        <f t="shared" ca="1" si="36"/>
        <v>No</v>
      </c>
    </row>
    <row r="604" spans="1:10" x14ac:dyDescent="0.35">
      <c r="A604" s="12">
        <f t="shared" si="37"/>
        <v>8</v>
      </c>
      <c r="B604" s="12" t="str">
        <f t="shared" si="38"/>
        <v>Feb2025</v>
      </c>
      <c r="C604" s="12" t="str">
        <f t="shared" si="39"/>
        <v>Wednesday</v>
      </c>
      <c r="D604" s="13">
        <v>45707</v>
      </c>
      <c r="E604" s="14">
        <v>3</v>
      </c>
      <c r="F604" s="12">
        <v>10755926792</v>
      </c>
      <c r="G604" s="14" t="s">
        <v>3</v>
      </c>
      <c r="H604" s="14" t="s">
        <v>11</v>
      </c>
      <c r="I604" s="16" t="s">
        <v>195</v>
      </c>
      <c r="J604" s="14" t="str">
        <f t="shared" ca="1" si="36"/>
        <v>Yes</v>
      </c>
    </row>
    <row r="605" spans="1:10" x14ac:dyDescent="0.35">
      <c r="A605" s="12">
        <f t="shared" si="37"/>
        <v>8</v>
      </c>
      <c r="B605" s="12" t="str">
        <f t="shared" si="38"/>
        <v>Feb2025</v>
      </c>
      <c r="C605" s="12" t="str">
        <f t="shared" si="39"/>
        <v>Wednesday</v>
      </c>
      <c r="D605" s="13">
        <v>45707</v>
      </c>
      <c r="E605" s="14">
        <v>4</v>
      </c>
      <c r="F605" s="12">
        <v>10828204022</v>
      </c>
      <c r="G605" s="14" t="s">
        <v>3</v>
      </c>
      <c r="H605" s="14" t="s">
        <v>11</v>
      </c>
      <c r="I605" s="16" t="s">
        <v>181</v>
      </c>
      <c r="J605" s="14" t="str">
        <f t="shared" ca="1" si="36"/>
        <v>Yes</v>
      </c>
    </row>
    <row r="606" spans="1:10" x14ac:dyDescent="0.35">
      <c r="A606" s="12">
        <f t="shared" si="37"/>
        <v>8</v>
      </c>
      <c r="B606" s="12" t="str">
        <f t="shared" si="38"/>
        <v>Feb2025</v>
      </c>
      <c r="C606" s="12" t="str">
        <f t="shared" si="39"/>
        <v>Wednesday</v>
      </c>
      <c r="D606" s="13">
        <v>45707</v>
      </c>
      <c r="E606" s="14">
        <v>5</v>
      </c>
      <c r="F606" s="12">
        <v>10828416972</v>
      </c>
      <c r="G606" s="14" t="s">
        <v>7</v>
      </c>
      <c r="H606" s="14" t="s">
        <v>61</v>
      </c>
      <c r="I606" s="16" t="s">
        <v>21</v>
      </c>
      <c r="J606" s="14" t="str">
        <f t="shared" ca="1" si="36"/>
        <v>No</v>
      </c>
    </row>
    <row r="607" spans="1:10" x14ac:dyDescent="0.35">
      <c r="A607" s="12">
        <f t="shared" si="37"/>
        <v>8</v>
      </c>
      <c r="B607" s="12" t="str">
        <f t="shared" si="38"/>
        <v>Feb2025</v>
      </c>
      <c r="C607" s="12" t="str">
        <f t="shared" si="39"/>
        <v>Wednesday</v>
      </c>
      <c r="D607" s="13">
        <v>45707</v>
      </c>
      <c r="E607" s="14">
        <v>6</v>
      </c>
      <c r="F607" s="12">
        <v>10827954992</v>
      </c>
      <c r="G607" s="14" t="s">
        <v>7</v>
      </c>
      <c r="H607" s="14" t="s">
        <v>21</v>
      </c>
      <c r="I607" s="16" t="s">
        <v>58</v>
      </c>
      <c r="J607" s="14" t="str">
        <f t="shared" ca="1" si="36"/>
        <v>No</v>
      </c>
    </row>
    <row r="608" spans="1:10" x14ac:dyDescent="0.35">
      <c r="A608" s="12">
        <f t="shared" si="37"/>
        <v>8</v>
      </c>
      <c r="B608" s="12" t="str">
        <f t="shared" si="38"/>
        <v>Feb2025</v>
      </c>
      <c r="C608" s="12" t="str">
        <f t="shared" si="39"/>
        <v>Wednesday</v>
      </c>
      <c r="D608" s="13">
        <v>45707</v>
      </c>
      <c r="E608" s="14">
        <v>7</v>
      </c>
      <c r="F608" s="12">
        <v>10805382512</v>
      </c>
      <c r="G608" s="14" t="s">
        <v>5</v>
      </c>
      <c r="H608" s="14" t="s">
        <v>21</v>
      </c>
      <c r="I608" s="16" t="s">
        <v>51</v>
      </c>
      <c r="J608" s="14" t="str">
        <f t="shared" ca="1" si="36"/>
        <v>Yes</v>
      </c>
    </row>
    <row r="609" spans="1:10" x14ac:dyDescent="0.35">
      <c r="A609" s="12">
        <f t="shared" si="37"/>
        <v>8</v>
      </c>
      <c r="B609" s="12" t="str">
        <f t="shared" si="38"/>
        <v>Feb2025</v>
      </c>
      <c r="C609" s="12" t="str">
        <f t="shared" si="39"/>
        <v>Wednesday</v>
      </c>
      <c r="D609" s="13">
        <v>45707</v>
      </c>
      <c r="E609" s="14">
        <v>8</v>
      </c>
      <c r="F609" s="12">
        <v>10595796002</v>
      </c>
      <c r="G609" s="14" t="s">
        <v>3</v>
      </c>
      <c r="H609" s="14" t="s">
        <v>11</v>
      </c>
      <c r="I609" s="16" t="s">
        <v>16</v>
      </c>
      <c r="J609" s="14" t="str">
        <f t="shared" ca="1" si="36"/>
        <v>No</v>
      </c>
    </row>
    <row r="610" spans="1:10" x14ac:dyDescent="0.35">
      <c r="A610" s="12">
        <f t="shared" si="37"/>
        <v>8</v>
      </c>
      <c r="B610" s="12" t="str">
        <f t="shared" si="38"/>
        <v>Feb2025</v>
      </c>
      <c r="C610" s="12" t="str">
        <f t="shared" si="39"/>
        <v>Wednesday</v>
      </c>
      <c r="D610" s="13">
        <v>45707</v>
      </c>
      <c r="E610" s="14">
        <v>9</v>
      </c>
      <c r="F610" s="12">
        <v>10828822282</v>
      </c>
      <c r="G610" s="14" t="s">
        <v>7</v>
      </c>
      <c r="H610" s="14" t="s">
        <v>61</v>
      </c>
      <c r="I610" s="16" t="s">
        <v>130</v>
      </c>
      <c r="J610" s="14" t="str">
        <f t="shared" ca="1" si="36"/>
        <v>Yes</v>
      </c>
    </row>
    <row r="611" spans="1:10" x14ac:dyDescent="0.35">
      <c r="A611" s="12">
        <f t="shared" si="37"/>
        <v>8</v>
      </c>
      <c r="B611" s="12" t="str">
        <f t="shared" si="38"/>
        <v>Feb2025</v>
      </c>
      <c r="C611" s="12" t="str">
        <f t="shared" si="39"/>
        <v>Wednesday</v>
      </c>
      <c r="D611" s="13">
        <v>45707</v>
      </c>
      <c r="E611" s="14">
        <v>10</v>
      </c>
      <c r="F611" s="12">
        <v>10826325622</v>
      </c>
      <c r="G611" s="14" t="s">
        <v>4</v>
      </c>
      <c r="H611" s="14" t="s">
        <v>11</v>
      </c>
      <c r="I611" s="16" t="s">
        <v>195</v>
      </c>
      <c r="J611" s="14" t="str">
        <f t="shared" ca="1" si="36"/>
        <v>No</v>
      </c>
    </row>
    <row r="612" spans="1:10" x14ac:dyDescent="0.35">
      <c r="A612" s="12">
        <f t="shared" si="37"/>
        <v>8</v>
      </c>
      <c r="B612" s="12" t="str">
        <f t="shared" si="38"/>
        <v>Feb2025</v>
      </c>
      <c r="C612" s="12" t="str">
        <f t="shared" si="39"/>
        <v>Wednesday</v>
      </c>
      <c r="D612" s="13">
        <v>45707</v>
      </c>
      <c r="E612" s="14">
        <v>11</v>
      </c>
      <c r="F612" s="12">
        <v>10828847732</v>
      </c>
      <c r="G612" s="14" t="s">
        <v>4</v>
      </c>
      <c r="H612" s="14" t="s">
        <v>11</v>
      </c>
      <c r="I612" s="16" t="s">
        <v>15</v>
      </c>
      <c r="J612" s="14" t="str">
        <f t="shared" ca="1" si="36"/>
        <v>No</v>
      </c>
    </row>
    <row r="613" spans="1:10" x14ac:dyDescent="0.35">
      <c r="A613" s="12">
        <f t="shared" si="37"/>
        <v>8</v>
      </c>
      <c r="B613" s="12" t="str">
        <f t="shared" si="38"/>
        <v>Feb2025</v>
      </c>
      <c r="C613" s="12" t="str">
        <f t="shared" si="39"/>
        <v>Wednesday</v>
      </c>
      <c r="D613" s="13">
        <v>45707</v>
      </c>
      <c r="E613" s="14">
        <v>12</v>
      </c>
      <c r="F613" s="12">
        <v>10641519692</v>
      </c>
      <c r="G613" s="14" t="s">
        <v>7</v>
      </c>
      <c r="H613" s="14" t="s">
        <v>21</v>
      </c>
      <c r="I613" s="16" t="s">
        <v>11</v>
      </c>
      <c r="J613" s="14" t="str">
        <f t="shared" ca="1" si="36"/>
        <v>No</v>
      </c>
    </row>
    <row r="614" spans="1:10" x14ac:dyDescent="0.35">
      <c r="A614" s="12">
        <f t="shared" si="37"/>
        <v>8</v>
      </c>
      <c r="B614" s="12" t="str">
        <f t="shared" si="38"/>
        <v>Feb2025</v>
      </c>
      <c r="C614" s="12" t="str">
        <f t="shared" si="39"/>
        <v>Wednesday</v>
      </c>
      <c r="D614" s="13">
        <v>45707</v>
      </c>
      <c r="E614" s="14">
        <v>13</v>
      </c>
      <c r="F614" s="12">
        <v>10805909612</v>
      </c>
      <c r="G614" s="14" t="s">
        <v>5</v>
      </c>
      <c r="H614" s="14" t="s">
        <v>21</v>
      </c>
      <c r="I614" s="16" t="s">
        <v>46</v>
      </c>
      <c r="J614" s="14" t="str">
        <f t="shared" ca="1" si="36"/>
        <v>No</v>
      </c>
    </row>
    <row r="615" spans="1:10" x14ac:dyDescent="0.35">
      <c r="A615" s="12">
        <f t="shared" si="37"/>
        <v>8</v>
      </c>
      <c r="B615" s="12" t="str">
        <f t="shared" si="38"/>
        <v>Feb2025</v>
      </c>
      <c r="C615" s="12" t="str">
        <f t="shared" si="39"/>
        <v>Wednesday</v>
      </c>
      <c r="D615" s="13">
        <v>45707</v>
      </c>
      <c r="E615" s="14">
        <v>14</v>
      </c>
      <c r="F615" s="12">
        <v>10829706552</v>
      </c>
      <c r="G615" s="14" t="s">
        <v>7</v>
      </c>
      <c r="H615" s="14" t="s">
        <v>61</v>
      </c>
      <c r="I615" s="16" t="s">
        <v>47</v>
      </c>
      <c r="J615" s="14" t="str">
        <f t="shared" ca="1" si="36"/>
        <v>No</v>
      </c>
    </row>
    <row r="616" spans="1:10" x14ac:dyDescent="0.35">
      <c r="A616" s="12">
        <f t="shared" si="37"/>
        <v>8</v>
      </c>
      <c r="B616" s="12" t="str">
        <f t="shared" si="38"/>
        <v>Feb2025</v>
      </c>
      <c r="C616" s="12" t="str">
        <f t="shared" si="39"/>
        <v>Wednesday</v>
      </c>
      <c r="D616" s="13">
        <v>45707</v>
      </c>
      <c r="E616" s="14">
        <v>15</v>
      </c>
      <c r="F616" s="12">
        <v>10807385042</v>
      </c>
      <c r="G616" s="14" t="s">
        <v>4</v>
      </c>
      <c r="H616" s="14" t="s">
        <v>11</v>
      </c>
      <c r="I616" s="16" t="s">
        <v>184</v>
      </c>
      <c r="J616" s="14" t="str">
        <f t="shared" ca="1" si="36"/>
        <v>No</v>
      </c>
    </row>
    <row r="617" spans="1:10" x14ac:dyDescent="0.35">
      <c r="A617" s="12">
        <f t="shared" si="37"/>
        <v>8</v>
      </c>
      <c r="B617" s="12" t="str">
        <f t="shared" si="38"/>
        <v>Feb2025</v>
      </c>
      <c r="C617" s="12" t="str">
        <f t="shared" si="39"/>
        <v>Wednesday</v>
      </c>
      <c r="D617" s="13">
        <v>45707</v>
      </c>
      <c r="E617" s="14">
        <v>16</v>
      </c>
      <c r="F617" s="12">
        <v>10829789982</v>
      </c>
      <c r="G617" s="14" t="s">
        <v>4</v>
      </c>
      <c r="H617" s="14" t="s">
        <v>61</v>
      </c>
      <c r="I617" s="16" t="s">
        <v>71</v>
      </c>
      <c r="J617" s="14" t="str">
        <f t="shared" ca="1" si="36"/>
        <v>No</v>
      </c>
    </row>
    <row r="618" spans="1:10" x14ac:dyDescent="0.35">
      <c r="A618" s="12">
        <f t="shared" si="37"/>
        <v>8</v>
      </c>
      <c r="B618" s="12" t="str">
        <f t="shared" si="38"/>
        <v>Feb2025</v>
      </c>
      <c r="C618" s="12" t="str">
        <f t="shared" si="39"/>
        <v>Wednesday</v>
      </c>
      <c r="D618" s="13">
        <v>45707</v>
      </c>
      <c r="E618" s="14">
        <v>17</v>
      </c>
      <c r="F618" s="12">
        <v>10829280522</v>
      </c>
      <c r="G618" s="14" t="s">
        <v>7</v>
      </c>
      <c r="H618" s="14" t="s">
        <v>61</v>
      </c>
      <c r="I618" s="16" t="s">
        <v>89</v>
      </c>
      <c r="J618" s="14" t="str">
        <f t="shared" ca="1" si="36"/>
        <v>No</v>
      </c>
    </row>
    <row r="619" spans="1:10" x14ac:dyDescent="0.35">
      <c r="A619" s="12">
        <f t="shared" si="37"/>
        <v>8</v>
      </c>
      <c r="B619" s="12" t="str">
        <f t="shared" si="38"/>
        <v>Feb2025</v>
      </c>
      <c r="C619" s="12" t="str">
        <f t="shared" si="39"/>
        <v>Wednesday</v>
      </c>
      <c r="D619" s="13">
        <v>45707</v>
      </c>
      <c r="E619" s="14">
        <v>18</v>
      </c>
      <c r="F619" s="12">
        <v>10808316462</v>
      </c>
      <c r="G619" s="14" t="s">
        <v>3</v>
      </c>
      <c r="H619" s="14" t="s">
        <v>61</v>
      </c>
      <c r="I619" s="16" t="s">
        <v>16</v>
      </c>
      <c r="J619" s="14" t="str">
        <f t="shared" ca="1" si="36"/>
        <v>Yes</v>
      </c>
    </row>
    <row r="620" spans="1:10" x14ac:dyDescent="0.35">
      <c r="A620" s="12">
        <f t="shared" si="37"/>
        <v>8</v>
      </c>
      <c r="B620" s="12" t="str">
        <f t="shared" si="38"/>
        <v>Feb2025</v>
      </c>
      <c r="C620" s="12" t="str">
        <f t="shared" si="39"/>
        <v>Wednesday</v>
      </c>
      <c r="D620" s="13">
        <v>45707</v>
      </c>
      <c r="E620" s="14">
        <v>19</v>
      </c>
      <c r="F620" s="12">
        <v>10829704662</v>
      </c>
      <c r="G620" s="14" t="s">
        <v>4</v>
      </c>
      <c r="H620" s="14" t="s">
        <v>11</v>
      </c>
      <c r="I620" s="16" t="s">
        <v>184</v>
      </c>
      <c r="J620" s="14" t="str">
        <f t="shared" ca="1" si="36"/>
        <v>No</v>
      </c>
    </row>
    <row r="621" spans="1:10" x14ac:dyDescent="0.35">
      <c r="A621" s="12">
        <f t="shared" si="37"/>
        <v>8</v>
      </c>
      <c r="B621" s="12" t="str">
        <f t="shared" si="38"/>
        <v>Feb2025</v>
      </c>
      <c r="C621" s="12" t="str">
        <f t="shared" si="39"/>
        <v>Wednesday</v>
      </c>
      <c r="D621" s="13">
        <v>45707</v>
      </c>
      <c r="E621" s="14">
        <v>20</v>
      </c>
      <c r="F621" s="12">
        <v>10826325622</v>
      </c>
      <c r="G621" s="14" t="s">
        <v>5</v>
      </c>
      <c r="H621" s="14" t="s">
        <v>11</v>
      </c>
      <c r="I621" s="16" t="s">
        <v>46</v>
      </c>
      <c r="J621" s="14" t="str">
        <f t="shared" ca="1" si="36"/>
        <v>No</v>
      </c>
    </row>
    <row r="622" spans="1:10" x14ac:dyDescent="0.35">
      <c r="A622" s="12">
        <f t="shared" si="37"/>
        <v>8</v>
      </c>
      <c r="B622" s="12" t="str">
        <f t="shared" si="38"/>
        <v>Feb2025</v>
      </c>
      <c r="C622" s="12" t="str">
        <f t="shared" si="39"/>
        <v>Wednesday</v>
      </c>
      <c r="D622" s="13">
        <v>45707</v>
      </c>
      <c r="E622" s="14">
        <v>21</v>
      </c>
      <c r="F622" s="12">
        <v>10829511722</v>
      </c>
      <c r="G622" s="14" t="s">
        <v>4</v>
      </c>
      <c r="H622" s="14" t="s">
        <v>11</v>
      </c>
      <c r="I622" s="16" t="s">
        <v>51</v>
      </c>
      <c r="J622" s="14" t="str">
        <f t="shared" ca="1" si="36"/>
        <v>No</v>
      </c>
    </row>
    <row r="623" spans="1:10" x14ac:dyDescent="0.35">
      <c r="A623" s="12">
        <f t="shared" si="37"/>
        <v>8</v>
      </c>
      <c r="B623" s="12" t="str">
        <f t="shared" si="38"/>
        <v>Feb2025</v>
      </c>
      <c r="C623" s="12" t="str">
        <f t="shared" si="39"/>
        <v>Wednesday</v>
      </c>
      <c r="D623" s="13">
        <v>45707</v>
      </c>
      <c r="E623" s="14">
        <v>22</v>
      </c>
      <c r="F623" s="12">
        <v>10826325622</v>
      </c>
      <c r="G623" s="14" t="s">
        <v>3</v>
      </c>
      <c r="H623" s="14" t="s">
        <v>11</v>
      </c>
      <c r="I623" s="16" t="s">
        <v>195</v>
      </c>
      <c r="J623" s="14" t="str">
        <f t="shared" ca="1" si="36"/>
        <v>No</v>
      </c>
    </row>
    <row r="624" spans="1:10" x14ac:dyDescent="0.35">
      <c r="A624" s="12">
        <f t="shared" si="37"/>
        <v>8</v>
      </c>
      <c r="B624" s="12" t="str">
        <f t="shared" si="38"/>
        <v>Feb2025</v>
      </c>
      <c r="C624" s="12" t="str">
        <f t="shared" si="39"/>
        <v>Wednesday</v>
      </c>
      <c r="D624" s="13">
        <v>45707</v>
      </c>
      <c r="E624" s="14">
        <v>23</v>
      </c>
      <c r="F624" s="12">
        <v>10829161932</v>
      </c>
      <c r="G624" s="14" t="s">
        <v>5</v>
      </c>
      <c r="H624" s="14" t="s">
        <v>11</v>
      </c>
      <c r="I624" s="16" t="s">
        <v>194</v>
      </c>
      <c r="J624" s="14" t="str">
        <f t="shared" ca="1" si="36"/>
        <v>No</v>
      </c>
    </row>
    <row r="625" spans="1:10" x14ac:dyDescent="0.35">
      <c r="A625" s="12">
        <f t="shared" si="37"/>
        <v>8</v>
      </c>
      <c r="B625" s="12" t="str">
        <f t="shared" si="38"/>
        <v>Feb2025</v>
      </c>
      <c r="C625" s="12" t="str">
        <f t="shared" si="39"/>
        <v>Wednesday</v>
      </c>
      <c r="D625" s="13">
        <v>45707</v>
      </c>
      <c r="E625" s="14">
        <v>24</v>
      </c>
      <c r="F625" s="12">
        <v>10828784272</v>
      </c>
      <c r="G625" s="14" t="s">
        <v>4</v>
      </c>
      <c r="H625" s="14" t="s">
        <v>11</v>
      </c>
      <c r="I625" s="16" t="s">
        <v>92</v>
      </c>
      <c r="J625" s="14" t="str">
        <f t="shared" ca="1" si="36"/>
        <v>Yes</v>
      </c>
    </row>
    <row r="626" spans="1:10" x14ac:dyDescent="0.35">
      <c r="A626" s="12">
        <f t="shared" si="37"/>
        <v>8</v>
      </c>
      <c r="B626" s="12" t="str">
        <f t="shared" si="38"/>
        <v>Feb2025</v>
      </c>
      <c r="C626" s="12" t="str">
        <f t="shared" si="39"/>
        <v>Wednesday</v>
      </c>
      <c r="D626" s="13">
        <v>45707</v>
      </c>
      <c r="E626" s="14">
        <v>25</v>
      </c>
      <c r="F626" s="12">
        <v>10818471022</v>
      </c>
      <c r="G626" s="14" t="s">
        <v>4</v>
      </c>
      <c r="H626" s="14" t="s">
        <v>21</v>
      </c>
      <c r="I626" s="16" t="s">
        <v>24</v>
      </c>
      <c r="J626" s="14" t="str">
        <f t="shared" ca="1" si="36"/>
        <v>No</v>
      </c>
    </row>
    <row r="627" spans="1:10" x14ac:dyDescent="0.35">
      <c r="A627" s="12">
        <f t="shared" si="37"/>
        <v>8</v>
      </c>
      <c r="B627" s="12" t="str">
        <f t="shared" si="38"/>
        <v>Feb2025</v>
      </c>
      <c r="C627" s="12" t="str">
        <f t="shared" si="39"/>
        <v>Thursday</v>
      </c>
      <c r="D627" s="13">
        <v>45708</v>
      </c>
      <c r="E627" s="14">
        <v>1</v>
      </c>
      <c r="F627" s="12">
        <v>10808803612</v>
      </c>
      <c r="G627" s="14" t="s">
        <v>7</v>
      </c>
      <c r="H627" s="14" t="s">
        <v>11</v>
      </c>
      <c r="I627" s="16" t="s">
        <v>61</v>
      </c>
      <c r="J627" s="14" t="str">
        <f t="shared" ca="1" si="36"/>
        <v>Yes</v>
      </c>
    </row>
    <row r="628" spans="1:10" s="1" customFormat="1" ht="14.5" customHeight="1" x14ac:dyDescent="0.35">
      <c r="A628" s="12">
        <f t="shared" si="37"/>
        <v>8</v>
      </c>
      <c r="B628" s="12" t="str">
        <f t="shared" si="38"/>
        <v>Feb2025</v>
      </c>
      <c r="C628" s="12" t="str">
        <f t="shared" si="39"/>
        <v>Thursday</v>
      </c>
      <c r="D628" s="20">
        <v>45708</v>
      </c>
      <c r="E628" s="18">
        <v>2</v>
      </c>
      <c r="F628" s="19">
        <v>10817018842</v>
      </c>
      <c r="G628" s="18" t="s">
        <v>3</v>
      </c>
      <c r="H628" s="18" t="s">
        <v>21</v>
      </c>
      <c r="I628" s="17" t="s">
        <v>196</v>
      </c>
      <c r="J628" s="14" t="str">
        <f t="shared" ca="1" si="36"/>
        <v>No</v>
      </c>
    </row>
    <row r="629" spans="1:10" x14ac:dyDescent="0.35">
      <c r="A629" s="12">
        <f t="shared" si="37"/>
        <v>8</v>
      </c>
      <c r="B629" s="12" t="str">
        <f t="shared" si="38"/>
        <v>Feb2025</v>
      </c>
      <c r="C629" s="12" t="str">
        <f t="shared" si="39"/>
        <v>Thursday</v>
      </c>
      <c r="D629" s="20">
        <v>45708</v>
      </c>
      <c r="E629" s="14">
        <v>3</v>
      </c>
      <c r="F629" s="12">
        <v>10826462102</v>
      </c>
      <c r="G629" s="14" t="s">
        <v>3</v>
      </c>
      <c r="H629" s="14" t="s">
        <v>11</v>
      </c>
      <c r="I629" s="16" t="s">
        <v>16</v>
      </c>
      <c r="J629" s="14" t="str">
        <f t="shared" ca="1" si="36"/>
        <v>No</v>
      </c>
    </row>
    <row r="630" spans="1:10" x14ac:dyDescent="0.35">
      <c r="A630" s="12">
        <f t="shared" si="37"/>
        <v>8</v>
      </c>
      <c r="B630" s="12" t="str">
        <f t="shared" si="38"/>
        <v>Feb2025</v>
      </c>
      <c r="C630" s="12" t="str">
        <f t="shared" si="39"/>
        <v>Thursday</v>
      </c>
      <c r="D630" s="20">
        <v>45708</v>
      </c>
      <c r="E630" s="14">
        <v>4</v>
      </c>
      <c r="F630" s="12">
        <v>10799393562</v>
      </c>
      <c r="G630" s="14" t="s">
        <v>3</v>
      </c>
      <c r="H630" s="14" t="s">
        <v>11</v>
      </c>
      <c r="I630" s="16" t="s">
        <v>16</v>
      </c>
      <c r="J630" s="14" t="str">
        <f t="shared" ca="1" si="36"/>
        <v>Yes</v>
      </c>
    </row>
    <row r="631" spans="1:10" x14ac:dyDescent="0.35">
      <c r="A631" s="12">
        <f t="shared" si="37"/>
        <v>8</v>
      </c>
      <c r="B631" s="12" t="str">
        <f t="shared" si="38"/>
        <v>Feb2025</v>
      </c>
      <c r="C631" s="12" t="str">
        <f t="shared" si="39"/>
        <v>Thursday</v>
      </c>
      <c r="D631" s="20">
        <v>45708</v>
      </c>
      <c r="E631" s="14">
        <v>5</v>
      </c>
      <c r="F631" s="12">
        <v>10827683482</v>
      </c>
      <c r="G631" s="14" t="s">
        <v>7</v>
      </c>
      <c r="H631" s="14" t="s">
        <v>21</v>
      </c>
      <c r="I631" s="16" t="s">
        <v>115</v>
      </c>
      <c r="J631" s="14" t="str">
        <f t="shared" ca="1" si="36"/>
        <v>Yes</v>
      </c>
    </row>
    <row r="632" spans="1:10" x14ac:dyDescent="0.35">
      <c r="A632" s="12">
        <f t="shared" si="37"/>
        <v>8</v>
      </c>
      <c r="B632" s="12" t="str">
        <f t="shared" si="38"/>
        <v>Feb2025</v>
      </c>
      <c r="C632" s="12" t="str">
        <f t="shared" si="39"/>
        <v>Thursday</v>
      </c>
      <c r="D632" s="20">
        <v>45708</v>
      </c>
      <c r="E632" s="14">
        <v>6</v>
      </c>
      <c r="F632" s="12">
        <v>10816673532</v>
      </c>
      <c r="G632" s="14" t="s">
        <v>4</v>
      </c>
      <c r="H632" s="14" t="s">
        <v>21</v>
      </c>
      <c r="I632" s="16" t="s">
        <v>24</v>
      </c>
      <c r="J632" s="14" t="str">
        <f t="shared" ca="1" si="36"/>
        <v>No</v>
      </c>
    </row>
    <row r="633" spans="1:10" x14ac:dyDescent="0.35">
      <c r="A633" s="12">
        <f t="shared" si="37"/>
        <v>8</v>
      </c>
      <c r="B633" s="12" t="str">
        <f t="shared" si="38"/>
        <v>Feb2025</v>
      </c>
      <c r="C633" s="12" t="str">
        <f t="shared" si="39"/>
        <v>Thursday</v>
      </c>
      <c r="D633" s="20">
        <v>45708</v>
      </c>
      <c r="E633" s="14">
        <v>7</v>
      </c>
      <c r="F633" s="12">
        <v>10835632042</v>
      </c>
      <c r="G633" s="14" t="s">
        <v>4</v>
      </c>
      <c r="H633" s="14" t="s">
        <v>11</v>
      </c>
      <c r="I633" s="16" t="s">
        <v>197</v>
      </c>
      <c r="J633" s="14" t="str">
        <f t="shared" ca="1" si="36"/>
        <v>No</v>
      </c>
    </row>
    <row r="634" spans="1:10" x14ac:dyDescent="0.35">
      <c r="A634" s="12">
        <f t="shared" si="37"/>
        <v>8</v>
      </c>
      <c r="B634" s="12" t="str">
        <f t="shared" si="38"/>
        <v>Feb2025</v>
      </c>
      <c r="C634" s="12" t="str">
        <f t="shared" si="39"/>
        <v>Thursday</v>
      </c>
      <c r="D634" s="20">
        <v>45708</v>
      </c>
      <c r="E634" s="14">
        <v>8</v>
      </c>
      <c r="F634" s="12">
        <v>10816338442</v>
      </c>
      <c r="G634" s="14" t="s">
        <v>7</v>
      </c>
      <c r="H634" s="14" t="s">
        <v>11</v>
      </c>
      <c r="I634" s="16" t="s">
        <v>198</v>
      </c>
      <c r="J634" s="14" t="str">
        <f t="shared" ca="1" si="36"/>
        <v>Yes</v>
      </c>
    </row>
    <row r="635" spans="1:10" x14ac:dyDescent="0.35">
      <c r="A635" s="12">
        <f t="shared" si="37"/>
        <v>8</v>
      </c>
      <c r="B635" s="12" t="str">
        <f t="shared" si="38"/>
        <v>Feb2025</v>
      </c>
      <c r="C635" s="12" t="str">
        <f t="shared" si="39"/>
        <v>Thursday</v>
      </c>
      <c r="D635" s="20">
        <v>45708</v>
      </c>
      <c r="E635" s="14">
        <v>9</v>
      </c>
      <c r="F635" s="12">
        <v>10821589502</v>
      </c>
      <c r="G635" s="14" t="s">
        <v>4</v>
      </c>
      <c r="H635" s="14" t="s">
        <v>61</v>
      </c>
      <c r="I635" s="16" t="s">
        <v>199</v>
      </c>
      <c r="J635" s="14" t="str">
        <f t="shared" ca="1" si="36"/>
        <v>No</v>
      </c>
    </row>
    <row r="636" spans="1:10" x14ac:dyDescent="0.35">
      <c r="A636" s="12">
        <f t="shared" si="37"/>
        <v>8</v>
      </c>
      <c r="B636" s="12" t="str">
        <f t="shared" si="38"/>
        <v>Feb2025</v>
      </c>
      <c r="C636" s="12" t="str">
        <f t="shared" si="39"/>
        <v>Thursday</v>
      </c>
      <c r="D636" s="20">
        <v>45708</v>
      </c>
      <c r="E636" s="14">
        <v>10</v>
      </c>
      <c r="F636" s="12">
        <v>10827232902</v>
      </c>
      <c r="G636" s="14" t="s">
        <v>3</v>
      </c>
      <c r="H636" s="14" t="s">
        <v>61</v>
      </c>
      <c r="I636" s="16" t="s">
        <v>16</v>
      </c>
      <c r="J636" s="14" t="str">
        <f t="shared" ca="1" si="36"/>
        <v>No</v>
      </c>
    </row>
    <row r="637" spans="1:10" x14ac:dyDescent="0.35">
      <c r="A637" s="12">
        <f t="shared" si="37"/>
        <v>8</v>
      </c>
      <c r="B637" s="12" t="str">
        <f t="shared" si="38"/>
        <v>Feb2025</v>
      </c>
      <c r="C637" s="12" t="str">
        <f t="shared" si="39"/>
        <v>Thursday</v>
      </c>
      <c r="D637" s="20">
        <v>45708</v>
      </c>
      <c r="E637" s="14">
        <v>11</v>
      </c>
      <c r="F637" s="12">
        <v>10834239842</v>
      </c>
      <c r="G637" s="14" t="s">
        <v>4</v>
      </c>
      <c r="H637" s="14" t="s">
        <v>61</v>
      </c>
      <c r="I637" s="16" t="s">
        <v>74</v>
      </c>
      <c r="J637" s="14" t="str">
        <f t="shared" ca="1" si="36"/>
        <v>No</v>
      </c>
    </row>
    <row r="638" spans="1:10" x14ac:dyDescent="0.35">
      <c r="A638" s="12">
        <f t="shared" si="37"/>
        <v>8</v>
      </c>
      <c r="B638" s="12" t="str">
        <f t="shared" si="38"/>
        <v>Feb2025</v>
      </c>
      <c r="C638" s="12" t="str">
        <f t="shared" si="39"/>
        <v>Thursday</v>
      </c>
      <c r="D638" s="20">
        <v>45708</v>
      </c>
      <c r="E638" s="14">
        <v>12</v>
      </c>
      <c r="F638" s="12">
        <v>10836181502</v>
      </c>
      <c r="G638" s="14" t="s">
        <v>5</v>
      </c>
      <c r="H638" s="14" t="s">
        <v>11</v>
      </c>
      <c r="I638" s="16" t="s">
        <v>200</v>
      </c>
      <c r="J638" s="14" t="str">
        <f t="shared" ca="1" si="36"/>
        <v>No</v>
      </c>
    </row>
    <row r="639" spans="1:10" x14ac:dyDescent="0.35">
      <c r="A639" s="12">
        <f t="shared" si="37"/>
        <v>8</v>
      </c>
      <c r="B639" s="12" t="str">
        <f t="shared" si="38"/>
        <v>Feb2025</v>
      </c>
      <c r="C639" s="12" t="str">
        <f t="shared" si="39"/>
        <v>Thursday</v>
      </c>
      <c r="D639" s="20">
        <v>45708</v>
      </c>
      <c r="E639" s="14">
        <v>13</v>
      </c>
      <c r="F639" s="12">
        <v>10836219572</v>
      </c>
      <c r="G639" s="14" t="s">
        <v>4</v>
      </c>
      <c r="H639" s="14" t="s">
        <v>11</v>
      </c>
      <c r="I639" s="16" t="s">
        <v>55</v>
      </c>
      <c r="J639" s="14" t="str">
        <f t="shared" ca="1" si="36"/>
        <v>No</v>
      </c>
    </row>
    <row r="640" spans="1:10" x14ac:dyDescent="0.35">
      <c r="A640" s="12">
        <f t="shared" si="37"/>
        <v>8</v>
      </c>
      <c r="B640" s="12" t="str">
        <f t="shared" si="38"/>
        <v>Feb2025</v>
      </c>
      <c r="C640" s="12" t="str">
        <f t="shared" si="39"/>
        <v>Thursday</v>
      </c>
      <c r="D640" s="20">
        <v>45708</v>
      </c>
      <c r="E640" s="14">
        <v>14</v>
      </c>
      <c r="F640" s="12">
        <v>10835474562</v>
      </c>
      <c r="G640" s="14" t="s">
        <v>5</v>
      </c>
      <c r="H640" s="14" t="s">
        <v>21</v>
      </c>
      <c r="I640" s="16" t="s">
        <v>46</v>
      </c>
      <c r="J640" s="14" t="str">
        <f t="shared" ca="1" si="36"/>
        <v>No</v>
      </c>
    </row>
    <row r="641" spans="1:10" x14ac:dyDescent="0.35">
      <c r="A641" s="12">
        <f t="shared" si="37"/>
        <v>8</v>
      </c>
      <c r="B641" s="12" t="str">
        <f t="shared" si="38"/>
        <v>Feb2025</v>
      </c>
      <c r="C641" s="12" t="str">
        <f t="shared" si="39"/>
        <v>Thursday</v>
      </c>
      <c r="D641" s="20">
        <v>45708</v>
      </c>
      <c r="E641" s="14">
        <v>15</v>
      </c>
      <c r="F641" s="12">
        <v>10836443212</v>
      </c>
      <c r="G641" s="14" t="s">
        <v>4</v>
      </c>
      <c r="H641" s="14" t="s">
        <v>61</v>
      </c>
      <c r="I641" s="16" t="s">
        <v>57</v>
      </c>
      <c r="J641" s="14" t="str">
        <f t="shared" ca="1" si="36"/>
        <v>No</v>
      </c>
    </row>
    <row r="642" spans="1:10" x14ac:dyDescent="0.35">
      <c r="A642" s="12">
        <f t="shared" si="37"/>
        <v>8</v>
      </c>
      <c r="B642" s="12" t="str">
        <f t="shared" si="38"/>
        <v>Feb2025</v>
      </c>
      <c r="C642" s="12" t="str">
        <f t="shared" si="39"/>
        <v>Thursday</v>
      </c>
      <c r="D642" s="20">
        <v>45708</v>
      </c>
      <c r="E642" s="14">
        <v>16</v>
      </c>
      <c r="F642" s="12">
        <v>10830051672</v>
      </c>
      <c r="G642" s="14" t="s">
        <v>4</v>
      </c>
      <c r="H642" s="14" t="s">
        <v>11</v>
      </c>
      <c r="I642" s="16" t="s">
        <v>154</v>
      </c>
      <c r="J642" s="14" t="str">
        <f t="shared" ref="J642:J705" ca="1" si="40">IF(RAND()&lt;0.2,"Yes","No")</f>
        <v>Yes</v>
      </c>
    </row>
    <row r="643" spans="1:10" x14ac:dyDescent="0.35">
      <c r="A643" s="12">
        <f t="shared" ref="A643:A706" si="41">WEEKNUM(D643)</f>
        <v>8</v>
      </c>
      <c r="B643" s="12" t="str">
        <f t="shared" ref="B643:B706" si="42">TEXT(D643,"MMMYYYY")</f>
        <v>Feb2025</v>
      </c>
      <c r="C643" s="12" t="str">
        <f t="shared" ref="C643:C706" si="43">TEXT(D643,"dddd")</f>
        <v>Thursday</v>
      </c>
      <c r="D643" s="20">
        <v>45708</v>
      </c>
      <c r="E643" s="14">
        <v>17</v>
      </c>
      <c r="F643" s="12">
        <v>10829161932</v>
      </c>
      <c r="G643" s="14" t="s">
        <v>3</v>
      </c>
      <c r="H643" s="14" t="s">
        <v>11</v>
      </c>
      <c r="I643" s="16" t="s">
        <v>194</v>
      </c>
      <c r="J643" s="14" t="str">
        <f t="shared" ca="1" si="40"/>
        <v>No</v>
      </c>
    </row>
    <row r="644" spans="1:10" x14ac:dyDescent="0.35">
      <c r="A644" s="12">
        <f t="shared" si="41"/>
        <v>8</v>
      </c>
      <c r="B644" s="12" t="str">
        <f t="shared" si="42"/>
        <v>Feb2025</v>
      </c>
      <c r="C644" s="12" t="str">
        <f t="shared" si="43"/>
        <v>Thursday</v>
      </c>
      <c r="D644" s="20">
        <v>45708</v>
      </c>
      <c r="E644" s="14">
        <v>18</v>
      </c>
      <c r="F644" s="12">
        <v>10836025212</v>
      </c>
      <c r="G644" s="14" t="s">
        <v>4</v>
      </c>
      <c r="H644" s="14" t="s">
        <v>11</v>
      </c>
      <c r="I644" s="16" t="s">
        <v>92</v>
      </c>
      <c r="J644" s="14" t="str">
        <f t="shared" ca="1" si="40"/>
        <v>Yes</v>
      </c>
    </row>
    <row r="645" spans="1:10" x14ac:dyDescent="0.35">
      <c r="A645" s="12">
        <f t="shared" si="41"/>
        <v>8</v>
      </c>
      <c r="B645" s="12" t="str">
        <f t="shared" si="42"/>
        <v>Feb2025</v>
      </c>
      <c r="C645" s="12" t="str">
        <f t="shared" si="43"/>
        <v>Thursday</v>
      </c>
      <c r="D645" s="20">
        <v>45708</v>
      </c>
      <c r="E645" s="14">
        <v>19</v>
      </c>
      <c r="F645" s="12">
        <v>10802784902</v>
      </c>
      <c r="G645" s="14" t="s">
        <v>4</v>
      </c>
      <c r="H645" s="14" t="s">
        <v>11</v>
      </c>
      <c r="I645" s="16" t="s">
        <v>92</v>
      </c>
      <c r="J645" s="14" t="str">
        <f t="shared" ca="1" si="40"/>
        <v>No</v>
      </c>
    </row>
    <row r="646" spans="1:10" x14ac:dyDescent="0.35">
      <c r="A646" s="12">
        <f t="shared" si="41"/>
        <v>8</v>
      </c>
      <c r="B646" s="12" t="str">
        <f t="shared" si="42"/>
        <v>Feb2025</v>
      </c>
      <c r="C646" s="12" t="str">
        <f t="shared" si="43"/>
        <v>Thursday</v>
      </c>
      <c r="D646" s="20">
        <v>45708</v>
      </c>
      <c r="E646" s="14">
        <v>20</v>
      </c>
      <c r="F646" s="12">
        <v>10835240982</v>
      </c>
      <c r="G646" s="14" t="s">
        <v>5</v>
      </c>
      <c r="H646" s="14" t="s">
        <v>11</v>
      </c>
      <c r="I646" s="16" t="s">
        <v>177</v>
      </c>
      <c r="J646" s="14" t="str">
        <f t="shared" ca="1" si="40"/>
        <v>No</v>
      </c>
    </row>
    <row r="647" spans="1:10" x14ac:dyDescent="0.35">
      <c r="A647" s="12">
        <f t="shared" si="41"/>
        <v>8</v>
      </c>
      <c r="B647" s="12" t="str">
        <f t="shared" si="42"/>
        <v>Feb2025</v>
      </c>
      <c r="C647" s="12" t="str">
        <f t="shared" si="43"/>
        <v>Thursday</v>
      </c>
      <c r="D647" s="20">
        <v>45708</v>
      </c>
      <c r="E647" s="14">
        <v>21</v>
      </c>
      <c r="F647" s="12">
        <v>10834255832</v>
      </c>
      <c r="G647" s="14" t="s">
        <v>7</v>
      </c>
      <c r="H647" s="14" t="s">
        <v>61</v>
      </c>
      <c r="I647" s="16" t="s">
        <v>18</v>
      </c>
      <c r="J647" s="14" t="str">
        <f t="shared" ca="1" si="40"/>
        <v>Yes</v>
      </c>
    </row>
    <row r="648" spans="1:10" x14ac:dyDescent="0.35">
      <c r="A648" s="12">
        <f t="shared" si="41"/>
        <v>8</v>
      </c>
      <c r="B648" s="12" t="str">
        <f t="shared" si="42"/>
        <v>Feb2025</v>
      </c>
      <c r="C648" s="12" t="str">
        <f t="shared" si="43"/>
        <v>Thursday</v>
      </c>
      <c r="D648" s="20">
        <v>45708</v>
      </c>
      <c r="E648" s="14">
        <v>22</v>
      </c>
      <c r="F648" s="12">
        <v>10836580162</v>
      </c>
      <c r="G648" s="14" t="s">
        <v>4</v>
      </c>
      <c r="H648" s="14" t="s">
        <v>61</v>
      </c>
      <c r="I648" s="16" t="s">
        <v>182</v>
      </c>
      <c r="J648" s="14" t="str">
        <f t="shared" ca="1" si="40"/>
        <v>No</v>
      </c>
    </row>
    <row r="649" spans="1:10" x14ac:dyDescent="0.35">
      <c r="A649" s="12">
        <f t="shared" si="41"/>
        <v>8</v>
      </c>
      <c r="B649" s="12" t="str">
        <f t="shared" si="42"/>
        <v>Feb2025</v>
      </c>
      <c r="C649" s="12" t="str">
        <f t="shared" si="43"/>
        <v>Thursday</v>
      </c>
      <c r="D649" s="20">
        <v>45708</v>
      </c>
      <c r="E649" s="14">
        <v>23</v>
      </c>
      <c r="F649" s="12">
        <v>10828506902</v>
      </c>
      <c r="G649" s="14" t="s">
        <v>7</v>
      </c>
      <c r="H649" s="14" t="s">
        <v>61</v>
      </c>
      <c r="I649" s="16" t="s">
        <v>57</v>
      </c>
      <c r="J649" s="14" t="str">
        <f t="shared" ca="1" si="40"/>
        <v>No</v>
      </c>
    </row>
    <row r="650" spans="1:10" x14ac:dyDescent="0.35">
      <c r="A650" s="12">
        <f t="shared" si="41"/>
        <v>8</v>
      </c>
      <c r="B650" s="12" t="str">
        <f t="shared" si="42"/>
        <v>Feb2025</v>
      </c>
      <c r="C650" s="12" t="str">
        <f t="shared" si="43"/>
        <v>Friday</v>
      </c>
      <c r="D650" s="13">
        <v>45709</v>
      </c>
      <c r="E650" s="14">
        <v>1</v>
      </c>
      <c r="F650" s="12">
        <v>10816338442</v>
      </c>
      <c r="G650" s="14" t="s">
        <v>7</v>
      </c>
      <c r="H650" s="14" t="s">
        <v>11</v>
      </c>
      <c r="I650" s="16" t="s">
        <v>57</v>
      </c>
      <c r="J650" s="14" t="str">
        <f t="shared" ca="1" si="40"/>
        <v>No</v>
      </c>
    </row>
    <row r="651" spans="1:10" x14ac:dyDescent="0.35">
      <c r="A651" s="12">
        <f t="shared" si="41"/>
        <v>8</v>
      </c>
      <c r="B651" s="12" t="str">
        <f t="shared" si="42"/>
        <v>Feb2025</v>
      </c>
      <c r="C651" s="12" t="str">
        <f t="shared" si="43"/>
        <v>Friday</v>
      </c>
      <c r="D651" s="13">
        <v>45709</v>
      </c>
      <c r="E651" s="14">
        <v>2</v>
      </c>
      <c r="F651" s="12">
        <v>10839033932</v>
      </c>
      <c r="G651" s="14" t="s">
        <v>4</v>
      </c>
      <c r="H651" s="14" t="s">
        <v>61</v>
      </c>
      <c r="I651" s="16" t="s">
        <v>201</v>
      </c>
      <c r="J651" s="14" t="str">
        <f t="shared" ca="1" si="40"/>
        <v>No</v>
      </c>
    </row>
    <row r="652" spans="1:10" x14ac:dyDescent="0.35">
      <c r="A652" s="12">
        <f t="shared" si="41"/>
        <v>8</v>
      </c>
      <c r="B652" s="12" t="str">
        <f t="shared" si="42"/>
        <v>Feb2025</v>
      </c>
      <c r="C652" s="12" t="str">
        <f t="shared" si="43"/>
        <v>Friday</v>
      </c>
      <c r="D652" s="13">
        <v>45709</v>
      </c>
      <c r="E652" s="14">
        <v>3</v>
      </c>
      <c r="F652" s="12">
        <v>10840468132</v>
      </c>
      <c r="G652" s="14" t="s">
        <v>4</v>
      </c>
      <c r="H652" s="14" t="s">
        <v>11</v>
      </c>
      <c r="I652" s="16" t="s">
        <v>92</v>
      </c>
      <c r="J652" s="14" t="str">
        <f t="shared" ca="1" si="40"/>
        <v>No</v>
      </c>
    </row>
    <row r="653" spans="1:10" x14ac:dyDescent="0.35">
      <c r="A653" s="12">
        <f t="shared" si="41"/>
        <v>8</v>
      </c>
      <c r="B653" s="12" t="str">
        <f t="shared" si="42"/>
        <v>Feb2025</v>
      </c>
      <c r="C653" s="12" t="str">
        <f t="shared" si="43"/>
        <v>Friday</v>
      </c>
      <c r="D653" s="13">
        <v>45709</v>
      </c>
      <c r="E653" s="14">
        <v>4</v>
      </c>
      <c r="F653" s="12">
        <v>10839900992</v>
      </c>
      <c r="G653" s="14" t="s">
        <v>4</v>
      </c>
      <c r="H653" s="14" t="s">
        <v>11</v>
      </c>
      <c r="I653" s="16" t="s">
        <v>100</v>
      </c>
      <c r="J653" s="14" t="str">
        <f t="shared" ca="1" si="40"/>
        <v>No</v>
      </c>
    </row>
    <row r="654" spans="1:10" x14ac:dyDescent="0.35">
      <c r="A654" s="12">
        <f t="shared" si="41"/>
        <v>8</v>
      </c>
      <c r="B654" s="12" t="str">
        <f t="shared" si="42"/>
        <v>Feb2025</v>
      </c>
      <c r="C654" s="12" t="str">
        <f t="shared" si="43"/>
        <v>Friday</v>
      </c>
      <c r="D654" s="13">
        <v>45709</v>
      </c>
      <c r="E654" s="14">
        <v>5</v>
      </c>
      <c r="F654" s="12">
        <v>10839785822</v>
      </c>
      <c r="G654" s="14" t="s">
        <v>4</v>
      </c>
      <c r="H654" s="14" t="s">
        <v>11</v>
      </c>
      <c r="I654" s="16" t="s">
        <v>13</v>
      </c>
      <c r="J654" s="14" t="str">
        <f t="shared" ca="1" si="40"/>
        <v>No</v>
      </c>
    </row>
    <row r="655" spans="1:10" x14ac:dyDescent="0.35">
      <c r="A655" s="12">
        <f t="shared" si="41"/>
        <v>8</v>
      </c>
      <c r="B655" s="12" t="str">
        <f t="shared" si="42"/>
        <v>Feb2025</v>
      </c>
      <c r="C655" s="12" t="str">
        <f t="shared" si="43"/>
        <v>Friday</v>
      </c>
      <c r="D655" s="13">
        <v>45709</v>
      </c>
      <c r="E655" s="14">
        <v>6</v>
      </c>
      <c r="F655" s="12">
        <v>10803084372</v>
      </c>
      <c r="G655" s="14" t="s">
        <v>5</v>
      </c>
      <c r="H655" s="14" t="s">
        <v>21</v>
      </c>
      <c r="I655" s="16" t="s">
        <v>70</v>
      </c>
      <c r="J655" s="14" t="str">
        <f t="shared" ca="1" si="40"/>
        <v>No</v>
      </c>
    </row>
    <row r="656" spans="1:10" x14ac:dyDescent="0.35">
      <c r="A656" s="12">
        <f t="shared" si="41"/>
        <v>8</v>
      </c>
      <c r="B656" s="12" t="str">
        <f t="shared" si="42"/>
        <v>Feb2025</v>
      </c>
      <c r="C656" s="12" t="str">
        <f t="shared" si="43"/>
        <v>Friday</v>
      </c>
      <c r="D656" s="13">
        <v>45709</v>
      </c>
      <c r="E656" s="14">
        <v>7</v>
      </c>
      <c r="F656" s="12">
        <v>10840316692</v>
      </c>
      <c r="G656" s="14" t="s">
        <v>4</v>
      </c>
      <c r="H656" s="14" t="s">
        <v>11</v>
      </c>
      <c r="I656" s="16" t="s">
        <v>94</v>
      </c>
      <c r="J656" s="14" t="str">
        <f t="shared" ca="1" si="40"/>
        <v>Yes</v>
      </c>
    </row>
    <row r="657" spans="1:10" x14ac:dyDescent="0.35">
      <c r="A657" s="12">
        <f t="shared" si="41"/>
        <v>8</v>
      </c>
      <c r="B657" s="12" t="str">
        <f t="shared" si="42"/>
        <v>Feb2025</v>
      </c>
      <c r="C657" s="12" t="str">
        <f t="shared" si="43"/>
        <v>Friday</v>
      </c>
      <c r="D657" s="13">
        <v>45709</v>
      </c>
      <c r="E657" s="14">
        <v>8</v>
      </c>
      <c r="F657" s="12">
        <v>10807121222</v>
      </c>
      <c r="G657" s="14" t="s">
        <v>3</v>
      </c>
      <c r="H657" s="14" t="s">
        <v>11</v>
      </c>
      <c r="I657" s="16" t="s">
        <v>16</v>
      </c>
      <c r="J657" s="14" t="str">
        <f t="shared" ca="1" si="40"/>
        <v>Yes</v>
      </c>
    </row>
    <row r="658" spans="1:10" x14ac:dyDescent="0.35">
      <c r="A658" s="12">
        <f t="shared" si="41"/>
        <v>8</v>
      </c>
      <c r="B658" s="12" t="str">
        <f t="shared" si="42"/>
        <v>Feb2025</v>
      </c>
      <c r="C658" s="12" t="str">
        <f t="shared" si="43"/>
        <v>Friday</v>
      </c>
      <c r="D658" s="13">
        <v>45709</v>
      </c>
      <c r="E658" s="14">
        <v>9</v>
      </c>
      <c r="F658" s="12">
        <v>10839677572</v>
      </c>
      <c r="G658" s="14" t="s">
        <v>7</v>
      </c>
      <c r="H658" s="14" t="s">
        <v>61</v>
      </c>
      <c r="I658" s="16" t="s">
        <v>47</v>
      </c>
      <c r="J658" s="14" t="str">
        <f t="shared" ca="1" si="40"/>
        <v>No</v>
      </c>
    </row>
    <row r="659" spans="1:10" x14ac:dyDescent="0.35">
      <c r="A659" s="12">
        <f t="shared" si="41"/>
        <v>8</v>
      </c>
      <c r="B659" s="12" t="str">
        <f t="shared" si="42"/>
        <v>Feb2025</v>
      </c>
      <c r="C659" s="12" t="str">
        <f t="shared" si="43"/>
        <v>Friday</v>
      </c>
      <c r="D659" s="13">
        <v>45709</v>
      </c>
      <c r="E659" s="14">
        <v>10</v>
      </c>
      <c r="F659" s="12">
        <v>10838649382</v>
      </c>
      <c r="G659" s="14" t="s">
        <v>7</v>
      </c>
      <c r="H659" s="14" t="s">
        <v>21</v>
      </c>
      <c r="I659" s="16" t="s">
        <v>58</v>
      </c>
      <c r="J659" s="14" t="str">
        <f t="shared" ca="1" si="40"/>
        <v>No</v>
      </c>
    </row>
    <row r="660" spans="1:10" x14ac:dyDescent="0.35">
      <c r="A660" s="12">
        <f t="shared" si="41"/>
        <v>8</v>
      </c>
      <c r="B660" s="12" t="str">
        <f t="shared" si="42"/>
        <v>Feb2025</v>
      </c>
      <c r="C660" s="12" t="str">
        <f t="shared" si="43"/>
        <v>Friday</v>
      </c>
      <c r="D660" s="13">
        <v>45709</v>
      </c>
      <c r="E660" s="14">
        <v>11</v>
      </c>
      <c r="F660" s="12">
        <v>10839766952</v>
      </c>
      <c r="G660" s="14" t="s">
        <v>7</v>
      </c>
      <c r="H660" s="14" t="s">
        <v>11</v>
      </c>
      <c r="I660" s="16" t="s">
        <v>202</v>
      </c>
      <c r="J660" s="14" t="str">
        <f t="shared" ca="1" si="40"/>
        <v>No</v>
      </c>
    </row>
    <row r="661" spans="1:10" x14ac:dyDescent="0.35">
      <c r="A661" s="12">
        <f t="shared" si="41"/>
        <v>8</v>
      </c>
      <c r="B661" s="12" t="str">
        <f t="shared" si="42"/>
        <v>Feb2025</v>
      </c>
      <c r="C661" s="12" t="str">
        <f t="shared" si="43"/>
        <v>Friday</v>
      </c>
      <c r="D661" s="13">
        <v>45709</v>
      </c>
      <c r="E661" s="14">
        <v>12</v>
      </c>
      <c r="F661" s="12">
        <v>10817109342</v>
      </c>
      <c r="G661" s="14" t="s">
        <v>7</v>
      </c>
      <c r="H661" s="14" t="s">
        <v>21</v>
      </c>
      <c r="I661" s="16" t="s">
        <v>11</v>
      </c>
      <c r="J661" s="14" t="str">
        <f t="shared" ca="1" si="40"/>
        <v>No</v>
      </c>
    </row>
    <row r="662" spans="1:10" x14ac:dyDescent="0.35">
      <c r="A662" s="12">
        <f t="shared" si="41"/>
        <v>8</v>
      </c>
      <c r="B662" s="12" t="str">
        <f t="shared" si="42"/>
        <v>Feb2025</v>
      </c>
      <c r="C662" s="12" t="str">
        <f t="shared" si="43"/>
        <v>Friday</v>
      </c>
      <c r="D662" s="13">
        <v>45709</v>
      </c>
      <c r="E662" s="14">
        <v>13</v>
      </c>
      <c r="F662" s="12">
        <v>10730143422</v>
      </c>
      <c r="G662" s="14" t="s">
        <v>3</v>
      </c>
      <c r="H662" s="14" t="s">
        <v>11</v>
      </c>
      <c r="I662" s="16" t="s">
        <v>16</v>
      </c>
      <c r="J662" s="14" t="str">
        <f t="shared" ca="1" si="40"/>
        <v>No</v>
      </c>
    </row>
    <row r="663" spans="1:10" x14ac:dyDescent="0.35">
      <c r="A663" s="12">
        <f t="shared" si="41"/>
        <v>8</v>
      </c>
      <c r="B663" s="12" t="str">
        <f t="shared" si="42"/>
        <v>Feb2025</v>
      </c>
      <c r="C663" s="12" t="str">
        <f t="shared" si="43"/>
        <v>Friday</v>
      </c>
      <c r="D663" s="13">
        <v>45709</v>
      </c>
      <c r="E663" s="14">
        <v>14</v>
      </c>
      <c r="F663" s="12">
        <v>10655135682</v>
      </c>
      <c r="G663" s="14" t="s">
        <v>3</v>
      </c>
      <c r="H663" s="14" t="s">
        <v>11</v>
      </c>
      <c r="I663" s="16" t="s">
        <v>16</v>
      </c>
      <c r="J663" s="14" t="str">
        <f t="shared" ca="1" si="40"/>
        <v>No</v>
      </c>
    </row>
    <row r="664" spans="1:10" x14ac:dyDescent="0.35">
      <c r="A664" s="12">
        <f t="shared" si="41"/>
        <v>8</v>
      </c>
      <c r="B664" s="12" t="str">
        <f t="shared" si="42"/>
        <v>Feb2025</v>
      </c>
      <c r="C664" s="12" t="str">
        <f t="shared" si="43"/>
        <v>Friday</v>
      </c>
      <c r="D664" s="13">
        <v>45709</v>
      </c>
      <c r="E664" s="14">
        <v>15</v>
      </c>
      <c r="F664" s="12">
        <v>10752315112</v>
      </c>
      <c r="G664" s="14" t="s">
        <v>3</v>
      </c>
      <c r="H664" s="14" t="s">
        <v>11</v>
      </c>
      <c r="I664" s="16" t="s">
        <v>16</v>
      </c>
      <c r="J664" s="14" t="str">
        <f t="shared" ca="1" si="40"/>
        <v>Yes</v>
      </c>
    </row>
    <row r="665" spans="1:10" x14ac:dyDescent="0.35">
      <c r="A665" s="12">
        <f t="shared" si="41"/>
        <v>8</v>
      </c>
      <c r="B665" s="12" t="str">
        <f t="shared" si="42"/>
        <v>Feb2025</v>
      </c>
      <c r="C665" s="12" t="str">
        <f t="shared" si="43"/>
        <v>Friday</v>
      </c>
      <c r="D665" s="13">
        <v>45709</v>
      </c>
      <c r="E665" s="14">
        <v>16</v>
      </c>
      <c r="F665" s="12">
        <v>10768342522</v>
      </c>
      <c r="G665" s="14" t="s">
        <v>4</v>
      </c>
      <c r="H665" s="14" t="s">
        <v>61</v>
      </c>
      <c r="I665" s="16" t="s">
        <v>203</v>
      </c>
      <c r="J665" s="14" t="str">
        <f t="shared" ca="1" si="40"/>
        <v>No</v>
      </c>
    </row>
    <row r="666" spans="1:10" x14ac:dyDescent="0.35">
      <c r="A666" s="12">
        <f t="shared" si="41"/>
        <v>8</v>
      </c>
      <c r="B666" s="12" t="str">
        <f t="shared" si="42"/>
        <v>Feb2025</v>
      </c>
      <c r="C666" s="12" t="str">
        <f t="shared" si="43"/>
        <v>Friday</v>
      </c>
      <c r="D666" s="13">
        <v>45709</v>
      </c>
      <c r="E666" s="14">
        <v>17</v>
      </c>
      <c r="F666" s="12">
        <v>10829030402</v>
      </c>
      <c r="G666" s="14" t="s">
        <v>5</v>
      </c>
      <c r="H666" s="14" t="s">
        <v>21</v>
      </c>
      <c r="I666" s="16" t="s">
        <v>204</v>
      </c>
      <c r="J666" s="14" t="str">
        <f t="shared" ca="1" si="40"/>
        <v>No</v>
      </c>
    </row>
    <row r="667" spans="1:10" x14ac:dyDescent="0.35">
      <c r="A667" s="12">
        <f t="shared" si="41"/>
        <v>8</v>
      </c>
      <c r="B667" s="12" t="str">
        <f t="shared" si="42"/>
        <v>Feb2025</v>
      </c>
      <c r="C667" s="12" t="str">
        <f t="shared" si="43"/>
        <v>Friday</v>
      </c>
      <c r="D667" s="13">
        <v>45709</v>
      </c>
      <c r="E667" s="14">
        <v>18</v>
      </c>
      <c r="F667" s="12">
        <v>10789696872</v>
      </c>
      <c r="G667" s="14" t="s">
        <v>4</v>
      </c>
      <c r="H667" s="14" t="s">
        <v>21</v>
      </c>
      <c r="I667" s="16" t="s">
        <v>33</v>
      </c>
      <c r="J667" s="14" t="str">
        <f t="shared" ca="1" si="40"/>
        <v>No</v>
      </c>
    </row>
    <row r="668" spans="1:10" x14ac:dyDescent="0.35">
      <c r="A668" s="12">
        <f t="shared" si="41"/>
        <v>8</v>
      </c>
      <c r="B668" s="12" t="str">
        <f t="shared" si="42"/>
        <v>Feb2025</v>
      </c>
      <c r="C668" s="12" t="str">
        <f t="shared" si="43"/>
        <v>Friday</v>
      </c>
      <c r="D668" s="13">
        <v>45709</v>
      </c>
      <c r="E668" s="14">
        <v>19</v>
      </c>
      <c r="F668" s="12">
        <v>10811627712</v>
      </c>
      <c r="G668" s="14" t="s">
        <v>3</v>
      </c>
      <c r="H668" s="14" t="s">
        <v>61</v>
      </c>
      <c r="I668" s="16" t="s">
        <v>16</v>
      </c>
      <c r="J668" s="14" t="str">
        <f t="shared" ca="1" si="40"/>
        <v>Yes</v>
      </c>
    </row>
    <row r="669" spans="1:10" x14ac:dyDescent="0.35">
      <c r="A669" s="12">
        <f t="shared" si="41"/>
        <v>8</v>
      </c>
      <c r="B669" s="12" t="str">
        <f t="shared" si="42"/>
        <v>Feb2025</v>
      </c>
      <c r="C669" s="12" t="str">
        <f t="shared" si="43"/>
        <v>Friday</v>
      </c>
      <c r="D669" s="13">
        <v>45709</v>
      </c>
      <c r="E669" s="14">
        <v>20</v>
      </c>
      <c r="F669" s="12">
        <v>10840366612</v>
      </c>
      <c r="G669" s="14" t="s">
        <v>4</v>
      </c>
      <c r="H669" s="14" t="s">
        <v>61</v>
      </c>
      <c r="I669" s="16" t="s">
        <v>111</v>
      </c>
      <c r="J669" s="14" t="str">
        <f t="shared" ca="1" si="40"/>
        <v>No</v>
      </c>
    </row>
    <row r="670" spans="1:10" x14ac:dyDescent="0.35">
      <c r="A670" s="12">
        <f t="shared" si="41"/>
        <v>8</v>
      </c>
      <c r="B670" s="12" t="str">
        <f t="shared" si="42"/>
        <v>Feb2025</v>
      </c>
      <c r="C670" s="12" t="str">
        <f t="shared" si="43"/>
        <v>Friday</v>
      </c>
      <c r="D670" s="13">
        <v>45709</v>
      </c>
      <c r="E670" s="14">
        <v>21</v>
      </c>
      <c r="F670" s="12">
        <v>10493211082</v>
      </c>
      <c r="G670" s="14" t="s">
        <v>3</v>
      </c>
      <c r="H670" s="14" t="s">
        <v>11</v>
      </c>
      <c r="I670" s="16" t="s">
        <v>16</v>
      </c>
      <c r="J670" s="14" t="str">
        <f t="shared" ca="1" si="40"/>
        <v>No</v>
      </c>
    </row>
    <row r="671" spans="1:10" x14ac:dyDescent="0.35">
      <c r="A671" s="12">
        <f t="shared" si="41"/>
        <v>8</v>
      </c>
      <c r="B671" s="12" t="str">
        <f t="shared" si="42"/>
        <v>Feb2025</v>
      </c>
      <c r="C671" s="12" t="str">
        <f t="shared" si="43"/>
        <v>Friday</v>
      </c>
      <c r="D671" s="13">
        <v>45709</v>
      </c>
      <c r="E671" s="14">
        <v>22</v>
      </c>
      <c r="F671" s="12">
        <v>10840865382</v>
      </c>
      <c r="G671" s="14" t="s">
        <v>7</v>
      </c>
      <c r="H671" s="14" t="s">
        <v>11</v>
      </c>
      <c r="I671" s="16" t="s">
        <v>90</v>
      </c>
      <c r="J671" s="14" t="str">
        <f t="shared" ca="1" si="40"/>
        <v>No</v>
      </c>
    </row>
    <row r="672" spans="1:10" x14ac:dyDescent="0.35">
      <c r="A672" s="12">
        <f t="shared" si="41"/>
        <v>8</v>
      </c>
      <c r="B672" s="12" t="str">
        <f t="shared" si="42"/>
        <v>Feb2025</v>
      </c>
      <c r="C672" s="12" t="str">
        <f t="shared" si="43"/>
        <v>Friday</v>
      </c>
      <c r="D672" s="13">
        <v>45709</v>
      </c>
      <c r="E672" s="14">
        <v>23</v>
      </c>
      <c r="F672" s="12">
        <v>10834600722</v>
      </c>
      <c r="G672" s="14" t="s">
        <v>5</v>
      </c>
      <c r="H672" s="14" t="s">
        <v>11</v>
      </c>
      <c r="I672" s="16" t="s">
        <v>53</v>
      </c>
      <c r="J672" s="14" t="str">
        <f t="shared" ca="1" si="40"/>
        <v>No</v>
      </c>
    </row>
    <row r="673" spans="1:10" x14ac:dyDescent="0.35">
      <c r="A673" s="12">
        <f t="shared" si="41"/>
        <v>8</v>
      </c>
      <c r="B673" s="12" t="str">
        <f t="shared" si="42"/>
        <v>Feb2025</v>
      </c>
      <c r="C673" s="12" t="str">
        <f t="shared" si="43"/>
        <v>Friday</v>
      </c>
      <c r="D673" s="13">
        <v>45709</v>
      </c>
      <c r="E673" s="14">
        <v>24</v>
      </c>
      <c r="F673" s="12">
        <v>10841420622</v>
      </c>
      <c r="G673" s="14" t="s">
        <v>7</v>
      </c>
      <c r="H673" s="14" t="s">
        <v>21</v>
      </c>
      <c r="I673" s="16" t="s">
        <v>58</v>
      </c>
      <c r="J673" s="14" t="str">
        <f t="shared" ca="1" si="40"/>
        <v>No</v>
      </c>
    </row>
    <row r="674" spans="1:10" x14ac:dyDescent="0.35">
      <c r="A674" s="12">
        <f t="shared" si="41"/>
        <v>8</v>
      </c>
      <c r="B674" s="12" t="str">
        <f t="shared" si="42"/>
        <v>Feb2025</v>
      </c>
      <c r="C674" s="12" t="str">
        <f t="shared" si="43"/>
        <v>Friday</v>
      </c>
      <c r="D674" s="13">
        <v>45709</v>
      </c>
      <c r="E674" s="14">
        <v>25</v>
      </c>
      <c r="F674" s="12">
        <v>10826951382</v>
      </c>
      <c r="G674" s="14" t="s">
        <v>4</v>
      </c>
      <c r="H674" s="14" t="s">
        <v>21</v>
      </c>
      <c r="I674" s="16" t="s">
        <v>24</v>
      </c>
      <c r="J674" s="14" t="str">
        <f t="shared" ca="1" si="40"/>
        <v>No</v>
      </c>
    </row>
    <row r="675" spans="1:10" x14ac:dyDescent="0.35">
      <c r="A675" s="12">
        <f t="shared" si="41"/>
        <v>8</v>
      </c>
      <c r="B675" s="12" t="str">
        <f t="shared" si="42"/>
        <v>Feb2025</v>
      </c>
      <c r="C675" s="12" t="str">
        <f t="shared" si="43"/>
        <v>Friday</v>
      </c>
      <c r="D675" s="13">
        <v>45709</v>
      </c>
      <c r="E675" s="14">
        <v>26</v>
      </c>
      <c r="F675" s="12">
        <v>10826519832</v>
      </c>
      <c r="G675" s="14" t="s">
        <v>4</v>
      </c>
      <c r="H675" s="14" t="s">
        <v>11</v>
      </c>
      <c r="I675" s="16" t="s">
        <v>64</v>
      </c>
      <c r="J675" s="14" t="str">
        <f t="shared" ca="1" si="40"/>
        <v>No</v>
      </c>
    </row>
    <row r="676" spans="1:10" x14ac:dyDescent="0.35">
      <c r="A676" s="12">
        <f t="shared" si="41"/>
        <v>8</v>
      </c>
      <c r="B676" s="12" t="str">
        <f t="shared" si="42"/>
        <v>Feb2025</v>
      </c>
      <c r="C676" s="12" t="str">
        <f t="shared" si="43"/>
        <v>Friday</v>
      </c>
      <c r="D676" s="13">
        <v>45709</v>
      </c>
      <c r="E676" s="14">
        <v>27</v>
      </c>
      <c r="F676" s="12">
        <v>10841596382</v>
      </c>
      <c r="G676" s="14" t="s">
        <v>4</v>
      </c>
      <c r="H676" s="14" t="s">
        <v>21</v>
      </c>
      <c r="I676" s="16" t="s">
        <v>33</v>
      </c>
      <c r="J676" s="14" t="str">
        <f t="shared" ca="1" si="40"/>
        <v>No</v>
      </c>
    </row>
    <row r="677" spans="1:10" x14ac:dyDescent="0.35">
      <c r="A677" s="12">
        <f t="shared" si="41"/>
        <v>8</v>
      </c>
      <c r="B677" s="12" t="str">
        <f t="shared" si="42"/>
        <v>Feb2025</v>
      </c>
      <c r="C677" s="12" t="str">
        <f t="shared" si="43"/>
        <v>Saturday</v>
      </c>
      <c r="D677" s="13">
        <v>45710</v>
      </c>
      <c r="E677" s="14">
        <v>1</v>
      </c>
      <c r="F677" s="12">
        <v>10841751802</v>
      </c>
      <c r="G677" s="14" t="s">
        <v>4</v>
      </c>
      <c r="H677" s="14" t="s">
        <v>11</v>
      </c>
      <c r="I677" s="16" t="s">
        <v>32</v>
      </c>
      <c r="J677" s="14" t="str">
        <f t="shared" ca="1" si="40"/>
        <v>No</v>
      </c>
    </row>
    <row r="678" spans="1:10" x14ac:dyDescent="0.35">
      <c r="A678" s="12">
        <f t="shared" si="41"/>
        <v>8</v>
      </c>
      <c r="B678" s="12" t="str">
        <f t="shared" si="42"/>
        <v>Feb2025</v>
      </c>
      <c r="C678" s="12" t="str">
        <f t="shared" si="43"/>
        <v>Saturday</v>
      </c>
      <c r="D678" s="13">
        <v>45710</v>
      </c>
      <c r="E678" s="14">
        <v>2</v>
      </c>
      <c r="F678" s="12">
        <v>10830863582</v>
      </c>
      <c r="G678" s="14" t="s">
        <v>4</v>
      </c>
      <c r="H678" s="14" t="s">
        <v>21</v>
      </c>
      <c r="I678" s="16" t="s">
        <v>24</v>
      </c>
      <c r="J678" s="14" t="str">
        <f t="shared" ca="1" si="40"/>
        <v>No</v>
      </c>
    </row>
    <row r="679" spans="1:10" x14ac:dyDescent="0.35">
      <c r="A679" s="12">
        <f t="shared" si="41"/>
        <v>8</v>
      </c>
      <c r="B679" s="12" t="str">
        <f t="shared" si="42"/>
        <v>Feb2025</v>
      </c>
      <c r="C679" s="12" t="str">
        <f t="shared" si="43"/>
        <v>Saturday</v>
      </c>
      <c r="D679" s="13">
        <v>45710</v>
      </c>
      <c r="E679" s="14">
        <v>3</v>
      </c>
      <c r="F679" s="12">
        <v>9190671622</v>
      </c>
      <c r="G679" s="14" t="s">
        <v>4</v>
      </c>
      <c r="H679" s="14" t="s">
        <v>11</v>
      </c>
      <c r="I679" s="16" t="s">
        <v>103</v>
      </c>
      <c r="J679" s="14" t="str">
        <f t="shared" ca="1" si="40"/>
        <v>Yes</v>
      </c>
    </row>
    <row r="680" spans="1:10" x14ac:dyDescent="0.35">
      <c r="A680" s="12">
        <f t="shared" si="41"/>
        <v>8</v>
      </c>
      <c r="B680" s="12" t="str">
        <f t="shared" si="42"/>
        <v>Feb2025</v>
      </c>
      <c r="C680" s="12" t="str">
        <f t="shared" si="43"/>
        <v>Saturday</v>
      </c>
      <c r="D680" s="13">
        <v>45710</v>
      </c>
      <c r="E680" s="14">
        <v>4</v>
      </c>
      <c r="F680" s="12">
        <v>10631416632</v>
      </c>
      <c r="G680" s="14" t="s">
        <v>3</v>
      </c>
      <c r="H680" s="14" t="s">
        <v>61</v>
      </c>
      <c r="I680" s="16" t="s">
        <v>16</v>
      </c>
      <c r="J680" s="14" t="str">
        <f t="shared" ca="1" si="40"/>
        <v>Yes</v>
      </c>
    </row>
    <row r="681" spans="1:10" x14ac:dyDescent="0.35">
      <c r="A681" s="12">
        <f t="shared" si="41"/>
        <v>8</v>
      </c>
      <c r="B681" s="12" t="str">
        <f t="shared" si="42"/>
        <v>Feb2025</v>
      </c>
      <c r="C681" s="12" t="str">
        <f t="shared" si="43"/>
        <v>Saturday</v>
      </c>
      <c r="D681" s="13">
        <v>45710</v>
      </c>
      <c r="E681" s="14">
        <v>5</v>
      </c>
      <c r="F681" s="12">
        <v>10240693892</v>
      </c>
      <c r="G681" s="14" t="s">
        <v>3</v>
      </c>
      <c r="H681" s="14" t="s">
        <v>11</v>
      </c>
      <c r="I681" s="16" t="s">
        <v>16</v>
      </c>
      <c r="J681" s="14" t="str">
        <f t="shared" ca="1" si="40"/>
        <v>No</v>
      </c>
    </row>
    <row r="682" spans="1:10" x14ac:dyDescent="0.35">
      <c r="A682" s="12">
        <f t="shared" si="41"/>
        <v>8</v>
      </c>
      <c r="B682" s="12" t="str">
        <f t="shared" si="42"/>
        <v>Feb2025</v>
      </c>
      <c r="C682" s="12" t="str">
        <f t="shared" si="43"/>
        <v>Saturday</v>
      </c>
      <c r="D682" s="13">
        <v>45710</v>
      </c>
      <c r="E682" s="14">
        <v>6</v>
      </c>
      <c r="F682" s="12">
        <v>10799670002</v>
      </c>
      <c r="G682" s="14" t="s">
        <v>4</v>
      </c>
      <c r="H682" s="14" t="s">
        <v>21</v>
      </c>
      <c r="I682" s="16" t="s">
        <v>24</v>
      </c>
      <c r="J682" s="14" t="str">
        <f t="shared" ca="1" si="40"/>
        <v>No</v>
      </c>
    </row>
    <row r="683" spans="1:10" x14ac:dyDescent="0.35">
      <c r="A683" s="12">
        <f t="shared" si="41"/>
        <v>8</v>
      </c>
      <c r="B683" s="12" t="str">
        <f t="shared" si="42"/>
        <v>Feb2025</v>
      </c>
      <c r="C683" s="12" t="str">
        <f t="shared" si="43"/>
        <v>Saturday</v>
      </c>
      <c r="D683" s="13">
        <v>45710</v>
      </c>
      <c r="E683" s="14">
        <v>7</v>
      </c>
      <c r="F683" s="12">
        <v>10802890992</v>
      </c>
      <c r="G683" s="14" t="s">
        <v>4</v>
      </c>
      <c r="H683" s="14" t="s">
        <v>11</v>
      </c>
      <c r="I683" s="16" t="s">
        <v>32</v>
      </c>
      <c r="J683" s="14" t="str">
        <f t="shared" ca="1" si="40"/>
        <v>No</v>
      </c>
    </row>
    <row r="684" spans="1:10" x14ac:dyDescent="0.35">
      <c r="A684" s="12">
        <f t="shared" si="41"/>
        <v>8</v>
      </c>
      <c r="B684" s="12" t="str">
        <f t="shared" si="42"/>
        <v>Feb2025</v>
      </c>
      <c r="C684" s="12" t="str">
        <f t="shared" si="43"/>
        <v>Saturday</v>
      </c>
      <c r="D684" s="13">
        <v>45710</v>
      </c>
      <c r="E684" s="14">
        <v>8</v>
      </c>
      <c r="F684" s="12">
        <v>10813406102</v>
      </c>
      <c r="G684" s="14" t="s">
        <v>4</v>
      </c>
      <c r="H684" s="14" t="s">
        <v>21</v>
      </c>
      <c r="I684" s="16" t="s">
        <v>24</v>
      </c>
      <c r="J684" s="14" t="str">
        <f t="shared" ca="1" si="40"/>
        <v>No</v>
      </c>
    </row>
    <row r="685" spans="1:10" x14ac:dyDescent="0.35">
      <c r="A685" s="12">
        <f t="shared" si="41"/>
        <v>8</v>
      </c>
      <c r="B685" s="12" t="str">
        <f t="shared" si="42"/>
        <v>Feb2025</v>
      </c>
      <c r="C685" s="12" t="str">
        <f t="shared" si="43"/>
        <v>Saturday</v>
      </c>
      <c r="D685" s="13">
        <v>45710</v>
      </c>
      <c r="E685" s="14">
        <v>9</v>
      </c>
      <c r="F685" s="12">
        <v>10843965022</v>
      </c>
      <c r="G685" s="14" t="s">
        <v>4</v>
      </c>
      <c r="H685" s="14" t="s">
        <v>11</v>
      </c>
      <c r="I685" s="16" t="s">
        <v>15</v>
      </c>
      <c r="J685" s="14" t="str">
        <f t="shared" ca="1" si="40"/>
        <v>No</v>
      </c>
    </row>
    <row r="686" spans="1:10" x14ac:dyDescent="0.35">
      <c r="A686" s="12">
        <f t="shared" si="41"/>
        <v>8</v>
      </c>
      <c r="B686" s="12" t="str">
        <f t="shared" si="42"/>
        <v>Feb2025</v>
      </c>
      <c r="C686" s="12" t="str">
        <f t="shared" si="43"/>
        <v>Saturday</v>
      </c>
      <c r="D686" s="13">
        <v>45710</v>
      </c>
      <c r="E686" s="14">
        <v>10</v>
      </c>
      <c r="F686" s="12">
        <v>10844399842</v>
      </c>
      <c r="G686" s="14" t="s">
        <v>5</v>
      </c>
      <c r="H686" s="14" t="s">
        <v>11</v>
      </c>
      <c r="I686" s="16" t="s">
        <v>92</v>
      </c>
      <c r="J686" s="14" t="str">
        <f t="shared" ca="1" si="40"/>
        <v>No</v>
      </c>
    </row>
    <row r="687" spans="1:10" x14ac:dyDescent="0.35">
      <c r="A687" s="12">
        <f t="shared" si="41"/>
        <v>8</v>
      </c>
      <c r="B687" s="12" t="str">
        <f t="shared" si="42"/>
        <v>Feb2025</v>
      </c>
      <c r="C687" s="12" t="str">
        <f t="shared" si="43"/>
        <v>Saturday</v>
      </c>
      <c r="D687" s="13">
        <v>45710</v>
      </c>
      <c r="E687" s="14">
        <v>11</v>
      </c>
      <c r="F687" s="12">
        <v>10844535862</v>
      </c>
      <c r="G687" s="14" t="s">
        <v>7</v>
      </c>
      <c r="H687" s="14" t="s">
        <v>11</v>
      </c>
      <c r="I687" s="16" t="s">
        <v>47</v>
      </c>
      <c r="J687" s="14" t="str">
        <f t="shared" ca="1" si="40"/>
        <v>No</v>
      </c>
    </row>
    <row r="688" spans="1:10" x14ac:dyDescent="0.35">
      <c r="A688" s="12">
        <f t="shared" si="41"/>
        <v>8</v>
      </c>
      <c r="B688" s="12" t="str">
        <f t="shared" si="42"/>
        <v>Feb2025</v>
      </c>
      <c r="C688" s="12" t="str">
        <f t="shared" si="43"/>
        <v>Saturday</v>
      </c>
      <c r="D688" s="13">
        <v>45710</v>
      </c>
      <c r="E688" s="14">
        <v>12</v>
      </c>
      <c r="F688" s="12">
        <v>10830780082</v>
      </c>
      <c r="G688" s="14" t="s">
        <v>4</v>
      </c>
      <c r="H688" s="14" t="s">
        <v>21</v>
      </c>
      <c r="I688" s="16" t="s">
        <v>24</v>
      </c>
      <c r="J688" s="14" t="str">
        <f t="shared" ca="1" si="40"/>
        <v>No</v>
      </c>
    </row>
    <row r="689" spans="1:10" x14ac:dyDescent="0.35">
      <c r="A689" s="12">
        <f t="shared" si="41"/>
        <v>8</v>
      </c>
      <c r="B689" s="12" t="str">
        <f t="shared" si="42"/>
        <v>Feb2025</v>
      </c>
      <c r="C689" s="12" t="str">
        <f t="shared" si="43"/>
        <v>Saturday</v>
      </c>
      <c r="D689" s="13">
        <v>45710</v>
      </c>
      <c r="E689" s="14">
        <v>13</v>
      </c>
      <c r="F689" s="12">
        <v>10844399842</v>
      </c>
      <c r="G689" s="14" t="s">
        <v>7</v>
      </c>
      <c r="H689" s="14" t="s">
        <v>11</v>
      </c>
      <c r="I689" s="16" t="s">
        <v>28</v>
      </c>
      <c r="J689" s="14" t="str">
        <f t="shared" ca="1" si="40"/>
        <v>No</v>
      </c>
    </row>
    <row r="690" spans="1:10" x14ac:dyDescent="0.35">
      <c r="A690" s="12">
        <f t="shared" si="41"/>
        <v>8</v>
      </c>
      <c r="B690" s="12" t="str">
        <f t="shared" si="42"/>
        <v>Feb2025</v>
      </c>
      <c r="C690" s="12" t="str">
        <f t="shared" si="43"/>
        <v>Saturday</v>
      </c>
      <c r="D690" s="13">
        <v>45710</v>
      </c>
      <c r="E690" s="14">
        <v>14</v>
      </c>
      <c r="F690" s="12">
        <v>10845772412</v>
      </c>
      <c r="G690" s="14" t="s">
        <v>5</v>
      </c>
      <c r="H690" s="14" t="s">
        <v>11</v>
      </c>
      <c r="I690" s="16" t="s">
        <v>92</v>
      </c>
      <c r="J690" s="14" t="str">
        <f t="shared" ca="1" si="40"/>
        <v>No</v>
      </c>
    </row>
    <row r="691" spans="1:10" x14ac:dyDescent="0.35">
      <c r="A691" s="12">
        <f t="shared" si="41"/>
        <v>8</v>
      </c>
      <c r="B691" s="12" t="str">
        <f t="shared" si="42"/>
        <v>Feb2025</v>
      </c>
      <c r="C691" s="12" t="str">
        <f t="shared" si="43"/>
        <v>Saturday</v>
      </c>
      <c r="D691" s="13">
        <v>45710</v>
      </c>
      <c r="E691" s="14">
        <v>15</v>
      </c>
      <c r="F691" s="12">
        <v>10821334992</v>
      </c>
      <c r="G691" s="14" t="s">
        <v>4</v>
      </c>
      <c r="H691" s="14" t="s">
        <v>21</v>
      </c>
      <c r="I691" s="16" t="s">
        <v>84</v>
      </c>
      <c r="J691" s="14" t="str">
        <f t="shared" ca="1" si="40"/>
        <v>No</v>
      </c>
    </row>
    <row r="692" spans="1:10" x14ac:dyDescent="0.35">
      <c r="A692" s="12">
        <f t="shared" si="41"/>
        <v>8</v>
      </c>
      <c r="B692" s="12" t="str">
        <f t="shared" si="42"/>
        <v>Feb2025</v>
      </c>
      <c r="C692" s="12" t="str">
        <f t="shared" si="43"/>
        <v>Saturday</v>
      </c>
      <c r="D692" s="13">
        <v>45710</v>
      </c>
      <c r="E692" s="14">
        <v>16</v>
      </c>
      <c r="F692" s="12">
        <v>10828517092</v>
      </c>
      <c r="G692" s="14" t="s">
        <v>4</v>
      </c>
      <c r="H692" s="14" t="s">
        <v>21</v>
      </c>
      <c r="I692" s="16" t="s">
        <v>24</v>
      </c>
      <c r="J692" s="14" t="str">
        <f t="shared" ca="1" si="40"/>
        <v>Yes</v>
      </c>
    </row>
    <row r="693" spans="1:10" s="1" customFormat="1" ht="14.5" customHeight="1" x14ac:dyDescent="0.35">
      <c r="A693" s="12">
        <f t="shared" si="41"/>
        <v>8</v>
      </c>
      <c r="B693" s="12" t="str">
        <f t="shared" si="42"/>
        <v>Feb2025</v>
      </c>
      <c r="C693" s="12" t="str">
        <f t="shared" si="43"/>
        <v>Saturday</v>
      </c>
      <c r="D693" s="13">
        <v>45710</v>
      </c>
      <c r="E693" s="18">
        <v>17</v>
      </c>
      <c r="F693" s="19">
        <v>10844542642</v>
      </c>
      <c r="G693" s="18" t="s">
        <v>7</v>
      </c>
      <c r="H693" s="18" t="s">
        <v>61</v>
      </c>
      <c r="I693" s="17" t="s">
        <v>205</v>
      </c>
      <c r="J693" s="14" t="str">
        <f t="shared" ca="1" si="40"/>
        <v>Yes</v>
      </c>
    </row>
    <row r="694" spans="1:10" x14ac:dyDescent="0.35">
      <c r="A694" s="12">
        <f t="shared" si="41"/>
        <v>8</v>
      </c>
      <c r="B694" s="12" t="str">
        <f t="shared" si="42"/>
        <v>Feb2025</v>
      </c>
      <c r="C694" s="12" t="str">
        <f t="shared" si="43"/>
        <v>Saturday</v>
      </c>
      <c r="D694" s="13">
        <v>45710</v>
      </c>
      <c r="E694" s="14">
        <v>18</v>
      </c>
      <c r="F694" s="12">
        <v>10830903792</v>
      </c>
      <c r="G694" s="14" t="s">
        <v>4</v>
      </c>
      <c r="H694" s="14" t="s">
        <v>21</v>
      </c>
      <c r="I694" s="16" t="s">
        <v>64</v>
      </c>
      <c r="J694" s="14" t="str">
        <f t="shared" ca="1" si="40"/>
        <v>No</v>
      </c>
    </row>
    <row r="695" spans="1:10" x14ac:dyDescent="0.35">
      <c r="A695" s="12">
        <f t="shared" si="41"/>
        <v>8</v>
      </c>
      <c r="B695" s="12" t="str">
        <f t="shared" si="42"/>
        <v>Feb2025</v>
      </c>
      <c r="C695" s="12" t="str">
        <f t="shared" si="43"/>
        <v>Saturday</v>
      </c>
      <c r="D695" s="13">
        <v>45710</v>
      </c>
      <c r="E695" s="14">
        <v>19</v>
      </c>
      <c r="F695" s="12">
        <v>10830249102</v>
      </c>
      <c r="G695" s="14" t="s">
        <v>3</v>
      </c>
      <c r="H695" s="14" t="s">
        <v>11</v>
      </c>
      <c r="I695" s="16" t="s">
        <v>75</v>
      </c>
      <c r="J695" s="14" t="str">
        <f t="shared" ca="1" si="40"/>
        <v>No</v>
      </c>
    </row>
    <row r="696" spans="1:10" x14ac:dyDescent="0.35">
      <c r="A696" s="12">
        <f t="shared" si="41"/>
        <v>8</v>
      </c>
      <c r="B696" s="12" t="str">
        <f t="shared" si="42"/>
        <v>Feb2025</v>
      </c>
      <c r="C696" s="12" t="str">
        <f t="shared" si="43"/>
        <v>Saturday</v>
      </c>
      <c r="D696" s="13">
        <v>45710</v>
      </c>
      <c r="E696" s="14">
        <v>20</v>
      </c>
      <c r="F696" s="12">
        <v>10845554982</v>
      </c>
      <c r="G696" s="14" t="s">
        <v>3</v>
      </c>
      <c r="H696" s="14" t="s">
        <v>11</v>
      </c>
      <c r="I696" s="16" t="s">
        <v>43</v>
      </c>
      <c r="J696" s="14" t="str">
        <f t="shared" ca="1" si="40"/>
        <v>No</v>
      </c>
    </row>
    <row r="697" spans="1:10" x14ac:dyDescent="0.35">
      <c r="A697" s="12">
        <f t="shared" si="41"/>
        <v>8</v>
      </c>
      <c r="B697" s="12" t="str">
        <f t="shared" si="42"/>
        <v>Feb2025</v>
      </c>
      <c r="C697" s="12" t="str">
        <f t="shared" si="43"/>
        <v>Saturday</v>
      </c>
      <c r="D697" s="13">
        <v>45710</v>
      </c>
      <c r="E697" s="14">
        <v>21</v>
      </c>
      <c r="F697" s="12">
        <v>10816020692</v>
      </c>
      <c r="G697" s="14" t="s">
        <v>5</v>
      </c>
      <c r="H697" s="14" t="s">
        <v>21</v>
      </c>
      <c r="I697" s="16" t="s">
        <v>51</v>
      </c>
      <c r="J697" s="14" t="str">
        <f t="shared" ca="1" si="40"/>
        <v>No</v>
      </c>
    </row>
    <row r="698" spans="1:10" x14ac:dyDescent="0.35">
      <c r="A698" s="12">
        <f t="shared" si="41"/>
        <v>8</v>
      </c>
      <c r="B698" s="12" t="str">
        <f t="shared" si="42"/>
        <v>Feb2025</v>
      </c>
      <c r="C698" s="12" t="str">
        <f t="shared" si="43"/>
        <v>Saturday</v>
      </c>
      <c r="D698" s="13">
        <v>45710</v>
      </c>
      <c r="E698" s="14">
        <v>22</v>
      </c>
      <c r="F698" s="12">
        <v>10845830652</v>
      </c>
      <c r="G698" s="14" t="s">
        <v>4</v>
      </c>
      <c r="H698" s="14" t="s">
        <v>11</v>
      </c>
      <c r="I698" s="16" t="s">
        <v>96</v>
      </c>
      <c r="J698" s="14" t="str">
        <f t="shared" ca="1" si="40"/>
        <v>Yes</v>
      </c>
    </row>
    <row r="699" spans="1:10" x14ac:dyDescent="0.35">
      <c r="A699" s="12">
        <f t="shared" si="41"/>
        <v>8</v>
      </c>
      <c r="B699" s="12" t="str">
        <f t="shared" si="42"/>
        <v>Feb2025</v>
      </c>
      <c r="C699" s="12" t="str">
        <f t="shared" si="43"/>
        <v>Saturday</v>
      </c>
      <c r="D699" s="13">
        <v>45710</v>
      </c>
      <c r="E699" s="14">
        <v>23</v>
      </c>
      <c r="F699" s="12">
        <v>10845876102</v>
      </c>
      <c r="G699" s="14" t="s">
        <v>4</v>
      </c>
      <c r="H699" s="14" t="s">
        <v>11</v>
      </c>
      <c r="I699" s="16" t="s">
        <v>85</v>
      </c>
      <c r="J699" s="14" t="str">
        <f t="shared" ca="1" si="40"/>
        <v>No</v>
      </c>
    </row>
    <row r="700" spans="1:10" x14ac:dyDescent="0.35">
      <c r="A700" s="12">
        <f t="shared" si="41"/>
        <v>8</v>
      </c>
      <c r="B700" s="12" t="str">
        <f t="shared" si="42"/>
        <v>Feb2025</v>
      </c>
      <c r="C700" s="12" t="str">
        <f t="shared" si="43"/>
        <v>Saturday</v>
      </c>
      <c r="D700" s="13">
        <v>45710</v>
      </c>
      <c r="E700" s="14">
        <v>24</v>
      </c>
      <c r="F700" s="12">
        <v>10845291312</v>
      </c>
      <c r="G700" s="14" t="s">
        <v>7</v>
      </c>
      <c r="H700" s="14" t="s">
        <v>61</v>
      </c>
      <c r="I700" s="16" t="s">
        <v>18</v>
      </c>
      <c r="J700" s="14" t="str">
        <f t="shared" ca="1" si="40"/>
        <v>No</v>
      </c>
    </row>
    <row r="701" spans="1:10" x14ac:dyDescent="0.35">
      <c r="A701" s="12">
        <f t="shared" si="41"/>
        <v>8</v>
      </c>
      <c r="B701" s="12" t="str">
        <f t="shared" si="42"/>
        <v>Feb2025</v>
      </c>
      <c r="C701" s="12" t="str">
        <f t="shared" si="43"/>
        <v>Saturday</v>
      </c>
      <c r="D701" s="13">
        <v>45710</v>
      </c>
      <c r="E701" s="14">
        <v>25</v>
      </c>
      <c r="F701" s="12">
        <v>10844210852</v>
      </c>
      <c r="G701" s="14" t="s">
        <v>4</v>
      </c>
      <c r="H701" s="14" t="s">
        <v>61</v>
      </c>
      <c r="I701" s="16" t="s">
        <v>206</v>
      </c>
      <c r="J701" s="14" t="str">
        <f t="shared" ca="1" si="40"/>
        <v>No</v>
      </c>
    </row>
    <row r="702" spans="1:10" x14ac:dyDescent="0.35">
      <c r="A702" s="12">
        <f t="shared" si="41"/>
        <v>8</v>
      </c>
      <c r="B702" s="12" t="str">
        <f t="shared" si="42"/>
        <v>Feb2025</v>
      </c>
      <c r="C702" s="12" t="str">
        <f t="shared" si="43"/>
        <v>Saturday</v>
      </c>
      <c r="D702" s="13">
        <v>45710</v>
      </c>
      <c r="E702" s="14">
        <v>26</v>
      </c>
      <c r="F702" s="12">
        <v>10844582502</v>
      </c>
      <c r="G702" s="14" t="s">
        <v>4</v>
      </c>
      <c r="H702" s="14" t="s">
        <v>61</v>
      </c>
      <c r="I702" s="16" t="s">
        <v>111</v>
      </c>
      <c r="J702" s="14" t="str">
        <f t="shared" ca="1" si="40"/>
        <v>Yes</v>
      </c>
    </row>
    <row r="703" spans="1:10" x14ac:dyDescent="0.35">
      <c r="A703" s="12">
        <f t="shared" si="41"/>
        <v>8</v>
      </c>
      <c r="B703" s="12" t="str">
        <f t="shared" si="42"/>
        <v>Feb2025</v>
      </c>
      <c r="C703" s="12" t="str">
        <f t="shared" si="43"/>
        <v>Saturday</v>
      </c>
      <c r="D703" s="13">
        <v>45710</v>
      </c>
      <c r="E703" s="14">
        <v>27</v>
      </c>
      <c r="F703" s="12">
        <v>10672229412</v>
      </c>
      <c r="G703" s="14" t="s">
        <v>3</v>
      </c>
      <c r="H703" s="14" t="s">
        <v>11</v>
      </c>
      <c r="I703" s="16" t="s">
        <v>16</v>
      </c>
      <c r="J703" s="14" t="str">
        <f t="shared" ca="1" si="40"/>
        <v>No</v>
      </c>
    </row>
    <row r="704" spans="1:10" x14ac:dyDescent="0.35">
      <c r="A704" s="12">
        <f t="shared" si="41"/>
        <v>8</v>
      </c>
      <c r="B704" s="12" t="str">
        <f t="shared" si="42"/>
        <v>Feb2025</v>
      </c>
      <c r="C704" s="12" t="str">
        <f t="shared" si="43"/>
        <v>Saturday</v>
      </c>
      <c r="D704" s="13">
        <v>45710</v>
      </c>
      <c r="E704" s="14">
        <v>28</v>
      </c>
      <c r="F704" s="12">
        <v>10845398992</v>
      </c>
      <c r="G704" s="14" t="s">
        <v>4</v>
      </c>
      <c r="H704" s="14" t="s">
        <v>61</v>
      </c>
      <c r="I704" s="16" t="s">
        <v>20</v>
      </c>
      <c r="J704" s="14" t="str">
        <f t="shared" ca="1" si="40"/>
        <v>No</v>
      </c>
    </row>
    <row r="705" spans="1:10" x14ac:dyDescent="0.35">
      <c r="A705" s="12">
        <f t="shared" si="41"/>
        <v>8</v>
      </c>
      <c r="B705" s="12" t="str">
        <f t="shared" si="42"/>
        <v>Feb2025</v>
      </c>
      <c r="C705" s="12" t="str">
        <f t="shared" si="43"/>
        <v>Saturday</v>
      </c>
      <c r="D705" s="13">
        <v>45710</v>
      </c>
      <c r="E705" s="14">
        <v>29</v>
      </c>
      <c r="F705" s="12">
        <v>10817749872</v>
      </c>
      <c r="G705" s="14" t="s">
        <v>3</v>
      </c>
      <c r="H705" s="14" t="s">
        <v>11</v>
      </c>
      <c r="I705" s="16" t="s">
        <v>16</v>
      </c>
      <c r="J705" s="14" t="str">
        <f t="shared" ca="1" si="40"/>
        <v>Yes</v>
      </c>
    </row>
    <row r="706" spans="1:10" x14ac:dyDescent="0.35">
      <c r="A706" s="12">
        <f t="shared" si="41"/>
        <v>9</v>
      </c>
      <c r="B706" s="12" t="str">
        <f t="shared" si="42"/>
        <v>Feb2025</v>
      </c>
      <c r="C706" s="12" t="str">
        <f t="shared" si="43"/>
        <v>Tuesday</v>
      </c>
      <c r="D706" s="13">
        <v>45713</v>
      </c>
      <c r="E706" s="14">
        <v>1</v>
      </c>
      <c r="F706" s="12">
        <v>10850501762</v>
      </c>
      <c r="G706" s="14" t="s">
        <v>4</v>
      </c>
      <c r="H706" s="14" t="s">
        <v>11</v>
      </c>
      <c r="I706" s="16" t="s">
        <v>32</v>
      </c>
      <c r="J706" s="14" t="str">
        <f t="shared" ref="J706:J769" ca="1" si="44">IF(RAND()&lt;0.2,"Yes","No")</f>
        <v>No</v>
      </c>
    </row>
    <row r="707" spans="1:10" x14ac:dyDescent="0.35">
      <c r="A707" s="12">
        <f t="shared" ref="A707:A770" si="45">WEEKNUM(D707)</f>
        <v>9</v>
      </c>
      <c r="B707" s="12" t="str">
        <f t="shared" ref="B707:B770" si="46">TEXT(D707,"MMMYYYY")</f>
        <v>Feb2025</v>
      </c>
      <c r="C707" s="12" t="str">
        <f t="shared" ref="C707:C770" si="47">TEXT(D707,"dddd")</f>
        <v>Tuesday</v>
      </c>
      <c r="D707" s="13">
        <v>45713</v>
      </c>
      <c r="E707" s="14">
        <v>2</v>
      </c>
      <c r="F707" s="12">
        <v>10850270592</v>
      </c>
      <c r="G707" s="14" t="s">
        <v>4</v>
      </c>
      <c r="H707" s="14" t="s">
        <v>11</v>
      </c>
      <c r="I707" s="16" t="s">
        <v>32</v>
      </c>
      <c r="J707" s="14" t="str">
        <f t="shared" ca="1" si="44"/>
        <v>No</v>
      </c>
    </row>
    <row r="708" spans="1:10" x14ac:dyDescent="0.35">
      <c r="A708" s="12">
        <f t="shared" si="45"/>
        <v>9</v>
      </c>
      <c r="B708" s="12" t="str">
        <f t="shared" si="46"/>
        <v>Feb2025</v>
      </c>
      <c r="C708" s="12" t="str">
        <f t="shared" si="47"/>
        <v>Tuesday</v>
      </c>
      <c r="D708" s="13">
        <v>45713</v>
      </c>
      <c r="E708" s="14">
        <v>3</v>
      </c>
      <c r="F708" s="12">
        <v>10830351932</v>
      </c>
      <c r="G708" s="14" t="s">
        <v>3</v>
      </c>
      <c r="H708" s="14" t="s">
        <v>11</v>
      </c>
      <c r="I708" s="16" t="s">
        <v>64</v>
      </c>
      <c r="J708" s="14" t="str">
        <f t="shared" ca="1" si="44"/>
        <v>No</v>
      </c>
    </row>
    <row r="709" spans="1:10" s="1" customFormat="1" ht="14.5" customHeight="1" x14ac:dyDescent="0.35">
      <c r="A709" s="12">
        <f t="shared" si="45"/>
        <v>9</v>
      </c>
      <c r="B709" s="12" t="str">
        <f t="shared" si="46"/>
        <v>Feb2025</v>
      </c>
      <c r="C709" s="12" t="str">
        <f t="shared" si="47"/>
        <v>Tuesday</v>
      </c>
      <c r="D709" s="13">
        <v>45713</v>
      </c>
      <c r="E709" s="18">
        <v>4</v>
      </c>
      <c r="F709" s="19">
        <v>10850895572</v>
      </c>
      <c r="G709" s="18" t="s">
        <v>4</v>
      </c>
      <c r="H709" s="18" t="s">
        <v>61</v>
      </c>
      <c r="I709" s="17" t="s">
        <v>207</v>
      </c>
      <c r="J709" s="14" t="str">
        <f t="shared" ca="1" si="44"/>
        <v>Yes</v>
      </c>
    </row>
    <row r="710" spans="1:10" x14ac:dyDescent="0.35">
      <c r="A710" s="12">
        <f t="shared" si="45"/>
        <v>9</v>
      </c>
      <c r="B710" s="12" t="str">
        <f t="shared" si="46"/>
        <v>Feb2025</v>
      </c>
      <c r="C710" s="12" t="str">
        <f t="shared" si="47"/>
        <v>Tuesday</v>
      </c>
      <c r="D710" s="13">
        <v>45713</v>
      </c>
      <c r="E710" s="14">
        <v>5</v>
      </c>
      <c r="F710" s="12">
        <v>10811672872</v>
      </c>
      <c r="G710" s="14" t="s">
        <v>5</v>
      </c>
      <c r="H710" s="14" t="s">
        <v>21</v>
      </c>
      <c r="I710" s="16" t="s">
        <v>70</v>
      </c>
      <c r="J710" s="14" t="str">
        <f t="shared" ca="1" si="44"/>
        <v>No</v>
      </c>
    </row>
    <row r="711" spans="1:10" x14ac:dyDescent="0.35">
      <c r="A711" s="12">
        <f t="shared" si="45"/>
        <v>9</v>
      </c>
      <c r="B711" s="12" t="str">
        <f t="shared" si="46"/>
        <v>Feb2025</v>
      </c>
      <c r="C711" s="12" t="str">
        <f t="shared" si="47"/>
        <v>Tuesday</v>
      </c>
      <c r="D711" s="13">
        <v>45713</v>
      </c>
      <c r="E711" s="14">
        <v>6</v>
      </c>
      <c r="F711" s="12">
        <v>10851150342</v>
      </c>
      <c r="G711" s="14" t="s">
        <v>4</v>
      </c>
      <c r="H711" s="14" t="s">
        <v>61</v>
      </c>
      <c r="I711" s="16" t="s">
        <v>189</v>
      </c>
      <c r="J711" s="14" t="str">
        <f t="shared" ca="1" si="44"/>
        <v>No</v>
      </c>
    </row>
    <row r="712" spans="1:10" x14ac:dyDescent="0.35">
      <c r="A712" s="12">
        <f t="shared" si="45"/>
        <v>9</v>
      </c>
      <c r="B712" s="12" t="str">
        <f t="shared" si="46"/>
        <v>Feb2025</v>
      </c>
      <c r="C712" s="12" t="str">
        <f t="shared" si="47"/>
        <v>Tuesday</v>
      </c>
      <c r="D712" s="13">
        <v>45713</v>
      </c>
      <c r="E712" s="14">
        <v>7</v>
      </c>
      <c r="F712" s="12">
        <v>10851278762</v>
      </c>
      <c r="G712" s="14" t="s">
        <v>7</v>
      </c>
      <c r="H712" s="14" t="s">
        <v>61</v>
      </c>
      <c r="I712" s="16" t="s">
        <v>149</v>
      </c>
      <c r="J712" s="14" t="str">
        <f t="shared" ca="1" si="44"/>
        <v>No</v>
      </c>
    </row>
    <row r="713" spans="1:10" x14ac:dyDescent="0.35">
      <c r="A713" s="12">
        <f t="shared" si="45"/>
        <v>9</v>
      </c>
      <c r="B713" s="12" t="str">
        <f t="shared" si="46"/>
        <v>Feb2025</v>
      </c>
      <c r="C713" s="12" t="str">
        <f t="shared" si="47"/>
        <v>Tuesday</v>
      </c>
      <c r="D713" s="13">
        <v>45713</v>
      </c>
      <c r="E713" s="14">
        <v>8</v>
      </c>
      <c r="F713" s="12">
        <v>10851211502</v>
      </c>
      <c r="G713" s="14" t="s">
        <v>3</v>
      </c>
      <c r="H713" s="14" t="s">
        <v>11</v>
      </c>
      <c r="I713" s="16" t="s">
        <v>208</v>
      </c>
      <c r="J713" s="14" t="str">
        <f t="shared" ca="1" si="44"/>
        <v>No</v>
      </c>
    </row>
    <row r="714" spans="1:10" x14ac:dyDescent="0.35">
      <c r="A714" s="12">
        <f t="shared" si="45"/>
        <v>9</v>
      </c>
      <c r="B714" s="12" t="str">
        <f t="shared" si="46"/>
        <v>Feb2025</v>
      </c>
      <c r="C714" s="12" t="str">
        <f t="shared" si="47"/>
        <v>Tuesday</v>
      </c>
      <c r="D714" s="13">
        <v>45713</v>
      </c>
      <c r="E714" s="14">
        <v>9</v>
      </c>
      <c r="F714" s="12">
        <v>10084746772</v>
      </c>
      <c r="G714" s="14" t="s">
        <v>3</v>
      </c>
      <c r="H714" s="14" t="s">
        <v>11</v>
      </c>
      <c r="I714" s="16" t="s">
        <v>16</v>
      </c>
      <c r="J714" s="14" t="str">
        <f t="shared" ca="1" si="44"/>
        <v>No</v>
      </c>
    </row>
    <row r="715" spans="1:10" x14ac:dyDescent="0.35">
      <c r="A715" s="12">
        <f t="shared" si="45"/>
        <v>9</v>
      </c>
      <c r="B715" s="12" t="str">
        <f t="shared" si="46"/>
        <v>Feb2025</v>
      </c>
      <c r="C715" s="12" t="str">
        <f t="shared" si="47"/>
        <v>Tuesday</v>
      </c>
      <c r="D715" s="13">
        <v>45713</v>
      </c>
      <c r="E715" s="14">
        <v>10</v>
      </c>
      <c r="F715" s="12">
        <v>10851792142</v>
      </c>
      <c r="G715" s="14" t="s">
        <v>4</v>
      </c>
      <c r="H715" s="14" t="s">
        <v>61</v>
      </c>
      <c r="I715" s="16" t="s">
        <v>206</v>
      </c>
      <c r="J715" s="14" t="str">
        <f t="shared" ca="1" si="44"/>
        <v>Yes</v>
      </c>
    </row>
    <row r="716" spans="1:10" x14ac:dyDescent="0.35">
      <c r="A716" s="12">
        <f t="shared" si="45"/>
        <v>9</v>
      </c>
      <c r="B716" s="12" t="str">
        <f t="shared" si="46"/>
        <v>Feb2025</v>
      </c>
      <c r="C716" s="12" t="str">
        <f t="shared" si="47"/>
        <v>Tuesday</v>
      </c>
      <c r="D716" s="13">
        <v>45713</v>
      </c>
      <c r="E716" s="14">
        <v>11</v>
      </c>
      <c r="F716" s="12">
        <v>10850406192</v>
      </c>
      <c r="G716" s="14" t="s">
        <v>4</v>
      </c>
      <c r="H716" s="14" t="s">
        <v>21</v>
      </c>
      <c r="I716" s="16" t="s">
        <v>33</v>
      </c>
      <c r="J716" s="14" t="str">
        <f t="shared" ca="1" si="44"/>
        <v>Yes</v>
      </c>
    </row>
    <row r="717" spans="1:10" x14ac:dyDescent="0.35">
      <c r="A717" s="12">
        <f t="shared" si="45"/>
        <v>9</v>
      </c>
      <c r="B717" s="12" t="str">
        <f t="shared" si="46"/>
        <v>Feb2025</v>
      </c>
      <c r="C717" s="12" t="str">
        <f t="shared" si="47"/>
        <v>Tuesday</v>
      </c>
      <c r="D717" s="13">
        <v>45713</v>
      </c>
      <c r="E717" s="14">
        <v>12</v>
      </c>
      <c r="F717" s="12">
        <v>10852397942</v>
      </c>
      <c r="G717" s="14" t="s">
        <v>7</v>
      </c>
      <c r="H717" s="14" t="s">
        <v>61</v>
      </c>
      <c r="I717" s="16" t="s">
        <v>209</v>
      </c>
      <c r="J717" s="14" t="str">
        <f t="shared" ca="1" si="44"/>
        <v>No</v>
      </c>
    </row>
    <row r="718" spans="1:10" x14ac:dyDescent="0.35">
      <c r="A718" s="12">
        <f t="shared" si="45"/>
        <v>9</v>
      </c>
      <c r="B718" s="12" t="str">
        <f t="shared" si="46"/>
        <v>Feb2025</v>
      </c>
      <c r="C718" s="12" t="str">
        <f t="shared" si="47"/>
        <v>Tuesday</v>
      </c>
      <c r="D718" s="13">
        <v>45713</v>
      </c>
      <c r="E718" s="14">
        <v>13</v>
      </c>
      <c r="F718" s="12">
        <v>10852150242</v>
      </c>
      <c r="G718" s="14" t="s">
        <v>4</v>
      </c>
      <c r="H718" s="14" t="s">
        <v>11</v>
      </c>
      <c r="I718" s="16" t="s">
        <v>92</v>
      </c>
      <c r="J718" s="14" t="str">
        <f t="shared" ca="1" si="44"/>
        <v>No</v>
      </c>
    </row>
    <row r="719" spans="1:10" x14ac:dyDescent="0.35">
      <c r="A719" s="12">
        <f t="shared" si="45"/>
        <v>9</v>
      </c>
      <c r="B719" s="12" t="str">
        <f t="shared" si="46"/>
        <v>Feb2025</v>
      </c>
      <c r="C719" s="12" t="str">
        <f t="shared" si="47"/>
        <v>Tuesday</v>
      </c>
      <c r="D719" s="13">
        <v>45713</v>
      </c>
      <c r="E719" s="14">
        <v>14</v>
      </c>
      <c r="F719" s="12">
        <v>10847941362</v>
      </c>
      <c r="G719" s="14" t="s">
        <v>7</v>
      </c>
      <c r="H719" s="14" t="s">
        <v>21</v>
      </c>
      <c r="I719" s="16" t="s">
        <v>11</v>
      </c>
      <c r="J719" s="14" t="str">
        <f t="shared" ca="1" si="44"/>
        <v>No</v>
      </c>
    </row>
    <row r="720" spans="1:10" x14ac:dyDescent="0.35">
      <c r="A720" s="12">
        <f t="shared" si="45"/>
        <v>9</v>
      </c>
      <c r="B720" s="12" t="str">
        <f t="shared" si="46"/>
        <v>Feb2025</v>
      </c>
      <c r="C720" s="12" t="str">
        <f t="shared" si="47"/>
        <v>Tuesday</v>
      </c>
      <c r="D720" s="13">
        <v>45713</v>
      </c>
      <c r="E720" s="14">
        <v>15</v>
      </c>
      <c r="F720" s="12">
        <v>10821818742</v>
      </c>
      <c r="G720" s="14" t="s">
        <v>3</v>
      </c>
      <c r="H720" s="14" t="s">
        <v>11</v>
      </c>
      <c r="I720" s="16" t="s">
        <v>16</v>
      </c>
      <c r="J720" s="14" t="str">
        <f t="shared" ca="1" si="44"/>
        <v>No</v>
      </c>
    </row>
    <row r="721" spans="1:10" x14ac:dyDescent="0.35">
      <c r="A721" s="12">
        <f t="shared" si="45"/>
        <v>9</v>
      </c>
      <c r="B721" s="12" t="str">
        <f t="shared" si="46"/>
        <v>Feb2025</v>
      </c>
      <c r="C721" s="12" t="str">
        <f t="shared" si="47"/>
        <v>Tuesday</v>
      </c>
      <c r="D721" s="13">
        <v>45713</v>
      </c>
      <c r="E721" s="14">
        <v>16</v>
      </c>
      <c r="F721" s="12">
        <v>10851654222</v>
      </c>
      <c r="G721" s="14" t="s">
        <v>5</v>
      </c>
      <c r="H721" s="14" t="s">
        <v>21</v>
      </c>
      <c r="I721" s="16" t="s">
        <v>51</v>
      </c>
      <c r="J721" s="14" t="str">
        <f t="shared" ca="1" si="44"/>
        <v>No</v>
      </c>
    </row>
    <row r="722" spans="1:10" x14ac:dyDescent="0.35">
      <c r="A722" s="12">
        <f t="shared" si="45"/>
        <v>9</v>
      </c>
      <c r="B722" s="12" t="str">
        <f t="shared" si="46"/>
        <v>Feb2025</v>
      </c>
      <c r="C722" s="12" t="str">
        <f t="shared" si="47"/>
        <v>Tuesday</v>
      </c>
      <c r="D722" s="13">
        <v>45713</v>
      </c>
      <c r="E722" s="14">
        <v>17</v>
      </c>
      <c r="F722" s="12">
        <v>10828977422</v>
      </c>
      <c r="G722" s="14" t="s">
        <v>4</v>
      </c>
      <c r="H722" s="14" t="s">
        <v>21</v>
      </c>
      <c r="I722" s="16" t="s">
        <v>64</v>
      </c>
      <c r="J722" s="14" t="str">
        <f t="shared" ca="1" si="44"/>
        <v>Yes</v>
      </c>
    </row>
    <row r="723" spans="1:10" x14ac:dyDescent="0.35">
      <c r="A723" s="12">
        <f t="shared" si="45"/>
        <v>9</v>
      </c>
      <c r="B723" s="12" t="str">
        <f t="shared" si="46"/>
        <v>Feb2025</v>
      </c>
      <c r="C723" s="12" t="str">
        <f t="shared" si="47"/>
        <v>Tuesday</v>
      </c>
      <c r="D723" s="13">
        <v>45713</v>
      </c>
      <c r="E723" s="14">
        <v>18</v>
      </c>
      <c r="F723" s="12">
        <v>10836760362</v>
      </c>
      <c r="G723" s="14" t="s">
        <v>4</v>
      </c>
      <c r="H723" s="14" t="s">
        <v>21</v>
      </c>
      <c r="I723" s="16" t="s">
        <v>24</v>
      </c>
      <c r="J723" s="14" t="str">
        <f t="shared" ca="1" si="44"/>
        <v>No</v>
      </c>
    </row>
    <row r="724" spans="1:10" x14ac:dyDescent="0.35">
      <c r="A724" s="12">
        <f t="shared" si="45"/>
        <v>9</v>
      </c>
      <c r="B724" s="12" t="str">
        <f t="shared" si="46"/>
        <v>Feb2025</v>
      </c>
      <c r="C724" s="12" t="str">
        <f t="shared" si="47"/>
        <v>Tuesday</v>
      </c>
      <c r="D724" s="13">
        <v>45713</v>
      </c>
      <c r="E724" s="14">
        <v>19</v>
      </c>
      <c r="F724" s="12">
        <v>10826343652</v>
      </c>
      <c r="G724" s="14" t="s">
        <v>4</v>
      </c>
      <c r="H724" s="14" t="s">
        <v>21</v>
      </c>
      <c r="I724" s="16" t="s">
        <v>33</v>
      </c>
      <c r="J724" s="14" t="str">
        <f t="shared" ca="1" si="44"/>
        <v>No</v>
      </c>
    </row>
    <row r="725" spans="1:10" x14ac:dyDescent="0.35">
      <c r="A725" s="12">
        <f t="shared" si="45"/>
        <v>9</v>
      </c>
      <c r="B725" s="12" t="str">
        <f t="shared" si="46"/>
        <v>Feb2025</v>
      </c>
      <c r="C725" s="12" t="str">
        <f t="shared" si="47"/>
        <v>Tuesday</v>
      </c>
      <c r="D725" s="13">
        <v>45713</v>
      </c>
      <c r="E725" s="14">
        <v>20</v>
      </c>
      <c r="F725" s="12">
        <v>10850275652</v>
      </c>
      <c r="G725" s="14" t="s">
        <v>7</v>
      </c>
      <c r="H725" s="14" t="s">
        <v>21</v>
      </c>
      <c r="I725" s="16" t="s">
        <v>58</v>
      </c>
      <c r="J725" s="14" t="str">
        <f t="shared" ca="1" si="44"/>
        <v>No</v>
      </c>
    </row>
    <row r="726" spans="1:10" x14ac:dyDescent="0.35">
      <c r="A726" s="12">
        <f t="shared" si="45"/>
        <v>9</v>
      </c>
      <c r="B726" s="12" t="str">
        <f t="shared" si="46"/>
        <v>Feb2025</v>
      </c>
      <c r="C726" s="12" t="str">
        <f t="shared" si="47"/>
        <v>Tuesday</v>
      </c>
      <c r="D726" s="13">
        <v>45713</v>
      </c>
      <c r="E726" s="14">
        <v>21</v>
      </c>
      <c r="F726" s="12">
        <v>10839101272</v>
      </c>
      <c r="G726" s="14" t="s">
        <v>5</v>
      </c>
      <c r="H726" s="14" t="s">
        <v>11</v>
      </c>
      <c r="I726" s="16" t="s">
        <v>29</v>
      </c>
      <c r="J726" s="14" t="str">
        <f t="shared" ca="1" si="44"/>
        <v>No</v>
      </c>
    </row>
    <row r="727" spans="1:10" x14ac:dyDescent="0.35">
      <c r="A727" s="12">
        <f t="shared" si="45"/>
        <v>9</v>
      </c>
      <c r="B727" s="12" t="str">
        <f t="shared" si="46"/>
        <v>Feb2025</v>
      </c>
      <c r="C727" s="12" t="str">
        <f t="shared" si="47"/>
        <v>Tuesday</v>
      </c>
      <c r="D727" s="13">
        <v>45713</v>
      </c>
      <c r="E727" s="14">
        <v>22</v>
      </c>
      <c r="F727" s="12">
        <v>10852465162</v>
      </c>
      <c r="G727" s="14" t="s">
        <v>4</v>
      </c>
      <c r="H727" s="14" t="s">
        <v>11</v>
      </c>
      <c r="I727" s="16" t="s">
        <v>38</v>
      </c>
      <c r="J727" s="14" t="str">
        <f t="shared" ca="1" si="44"/>
        <v>Yes</v>
      </c>
    </row>
    <row r="728" spans="1:10" x14ac:dyDescent="0.35">
      <c r="A728" s="12">
        <f t="shared" si="45"/>
        <v>9</v>
      </c>
      <c r="B728" s="12" t="str">
        <f t="shared" si="46"/>
        <v>Feb2025</v>
      </c>
      <c r="C728" s="12" t="str">
        <f t="shared" si="47"/>
        <v>Tuesday</v>
      </c>
      <c r="D728" s="13">
        <v>45713</v>
      </c>
      <c r="E728" s="14">
        <v>23</v>
      </c>
      <c r="F728" s="12">
        <v>10852978582</v>
      </c>
      <c r="G728" s="14" t="s">
        <v>3</v>
      </c>
      <c r="H728" s="14" t="s">
        <v>11</v>
      </c>
      <c r="I728" s="16" t="s">
        <v>16</v>
      </c>
      <c r="J728" s="14" t="str">
        <f t="shared" ca="1" si="44"/>
        <v>No</v>
      </c>
    </row>
    <row r="729" spans="1:10" x14ac:dyDescent="0.35">
      <c r="A729" s="12">
        <f t="shared" si="45"/>
        <v>9</v>
      </c>
      <c r="B729" s="12" t="str">
        <f t="shared" si="46"/>
        <v>Feb2025</v>
      </c>
      <c r="C729" s="12" t="str">
        <f t="shared" si="47"/>
        <v>Tuesday</v>
      </c>
      <c r="D729" s="13">
        <v>45713</v>
      </c>
      <c r="E729" s="14">
        <v>24</v>
      </c>
      <c r="F729" s="12">
        <v>10846492982</v>
      </c>
      <c r="G729" s="14" t="s">
        <v>3</v>
      </c>
      <c r="H729" s="14" t="s">
        <v>11</v>
      </c>
      <c r="I729" s="16" t="s">
        <v>16</v>
      </c>
      <c r="J729" s="14" t="str">
        <f t="shared" ca="1" si="44"/>
        <v>No</v>
      </c>
    </row>
    <row r="730" spans="1:10" x14ac:dyDescent="0.35">
      <c r="A730" s="12">
        <f t="shared" si="45"/>
        <v>9</v>
      </c>
      <c r="B730" s="12" t="str">
        <f t="shared" si="46"/>
        <v>Feb2025</v>
      </c>
      <c r="C730" s="12" t="str">
        <f t="shared" si="47"/>
        <v>Tuesday</v>
      </c>
      <c r="D730" s="13">
        <v>45713</v>
      </c>
      <c r="E730" s="14">
        <v>25</v>
      </c>
      <c r="F730" s="12">
        <v>10853088512</v>
      </c>
      <c r="G730" s="14" t="s">
        <v>4</v>
      </c>
      <c r="H730" s="14" t="s">
        <v>11</v>
      </c>
      <c r="I730" s="16" t="s">
        <v>22</v>
      </c>
      <c r="J730" s="14" t="str">
        <f t="shared" ca="1" si="44"/>
        <v>No</v>
      </c>
    </row>
    <row r="731" spans="1:10" x14ac:dyDescent="0.35">
      <c r="A731" s="12">
        <f t="shared" si="45"/>
        <v>9</v>
      </c>
      <c r="B731" s="12" t="str">
        <f t="shared" si="46"/>
        <v>Feb2025</v>
      </c>
      <c r="C731" s="12" t="str">
        <f t="shared" si="47"/>
        <v>Tuesday</v>
      </c>
      <c r="D731" s="13">
        <v>45713</v>
      </c>
      <c r="E731" s="14">
        <v>26</v>
      </c>
      <c r="F731" s="12">
        <v>10689614462</v>
      </c>
      <c r="G731" s="14" t="s">
        <v>3</v>
      </c>
      <c r="H731" s="14" t="s">
        <v>11</v>
      </c>
      <c r="I731" s="16" t="s">
        <v>16</v>
      </c>
      <c r="J731" s="14" t="str">
        <f t="shared" ca="1" si="44"/>
        <v>No</v>
      </c>
    </row>
    <row r="732" spans="1:10" x14ac:dyDescent="0.35">
      <c r="A732" s="12">
        <f t="shared" si="45"/>
        <v>9</v>
      </c>
      <c r="B732" s="12" t="str">
        <f t="shared" si="46"/>
        <v>Feb2025</v>
      </c>
      <c r="C732" s="12" t="str">
        <f t="shared" si="47"/>
        <v>Tuesday</v>
      </c>
      <c r="D732" s="13">
        <v>45713</v>
      </c>
      <c r="E732" s="14">
        <v>27</v>
      </c>
      <c r="F732" s="12">
        <v>10852515482</v>
      </c>
      <c r="G732" s="14" t="s">
        <v>4</v>
      </c>
      <c r="H732" s="14" t="s">
        <v>61</v>
      </c>
      <c r="I732" s="16" t="s">
        <v>210</v>
      </c>
      <c r="J732" s="14" t="str">
        <f t="shared" ca="1" si="44"/>
        <v>Yes</v>
      </c>
    </row>
    <row r="733" spans="1:10" x14ac:dyDescent="0.35">
      <c r="A733" s="12">
        <f t="shared" si="45"/>
        <v>9</v>
      </c>
      <c r="B733" s="12" t="str">
        <f t="shared" si="46"/>
        <v>Feb2025</v>
      </c>
      <c r="C733" s="12" t="str">
        <f t="shared" si="47"/>
        <v>Tuesday</v>
      </c>
      <c r="D733" s="13">
        <v>45713</v>
      </c>
      <c r="E733" s="14">
        <v>28</v>
      </c>
      <c r="F733" s="12">
        <v>10852486332</v>
      </c>
      <c r="G733" s="14" t="s">
        <v>7</v>
      </c>
      <c r="H733" s="14" t="s">
        <v>11</v>
      </c>
      <c r="I733" s="16" t="s">
        <v>211</v>
      </c>
      <c r="J733" s="14" t="str">
        <f t="shared" ca="1" si="44"/>
        <v>Yes</v>
      </c>
    </row>
    <row r="734" spans="1:10" x14ac:dyDescent="0.35">
      <c r="A734" s="12">
        <f t="shared" si="45"/>
        <v>9</v>
      </c>
      <c r="B734" s="12" t="str">
        <f t="shared" si="46"/>
        <v>Feb2025</v>
      </c>
      <c r="C734" s="12" t="str">
        <f t="shared" si="47"/>
        <v>Tuesday</v>
      </c>
      <c r="D734" s="13">
        <v>45713</v>
      </c>
      <c r="E734" s="14">
        <v>29</v>
      </c>
      <c r="F734" s="12">
        <v>10852978582</v>
      </c>
      <c r="G734" s="14" t="s">
        <v>4</v>
      </c>
      <c r="H734" s="14" t="s">
        <v>11</v>
      </c>
      <c r="I734" s="16" t="s">
        <v>212</v>
      </c>
      <c r="J734" s="14" t="str">
        <f t="shared" ca="1" si="44"/>
        <v>Yes</v>
      </c>
    </row>
    <row r="735" spans="1:10" x14ac:dyDescent="0.35">
      <c r="A735" s="12">
        <f t="shared" si="45"/>
        <v>9</v>
      </c>
      <c r="B735" s="12" t="str">
        <f t="shared" si="46"/>
        <v>Feb2025</v>
      </c>
      <c r="C735" s="12" t="str">
        <f t="shared" si="47"/>
        <v>Wednesday</v>
      </c>
      <c r="D735" s="13">
        <v>45714</v>
      </c>
      <c r="E735" s="14">
        <v>1</v>
      </c>
      <c r="F735" s="12">
        <v>10790297742</v>
      </c>
      <c r="G735" s="14" t="s">
        <v>5</v>
      </c>
      <c r="H735" s="14" t="s">
        <v>11</v>
      </c>
      <c r="I735" s="16" t="s">
        <v>64</v>
      </c>
      <c r="J735" s="14" t="str">
        <f t="shared" ca="1" si="44"/>
        <v>No</v>
      </c>
    </row>
    <row r="736" spans="1:10" x14ac:dyDescent="0.35">
      <c r="A736" s="12">
        <f t="shared" si="45"/>
        <v>9</v>
      </c>
      <c r="B736" s="12" t="str">
        <f t="shared" si="46"/>
        <v>Feb2025</v>
      </c>
      <c r="C736" s="12" t="str">
        <f t="shared" si="47"/>
        <v>Wednesday</v>
      </c>
      <c r="D736" s="13">
        <v>45714</v>
      </c>
      <c r="E736" s="14">
        <v>2</v>
      </c>
      <c r="F736" s="12">
        <v>10853659492</v>
      </c>
      <c r="G736" s="14" t="s">
        <v>4</v>
      </c>
      <c r="H736" s="14" t="s">
        <v>11</v>
      </c>
      <c r="I736" s="16" t="s">
        <v>92</v>
      </c>
      <c r="J736" s="14" t="str">
        <f t="shared" ca="1" si="44"/>
        <v>No</v>
      </c>
    </row>
    <row r="737" spans="1:10" x14ac:dyDescent="0.35">
      <c r="A737" s="12">
        <f t="shared" si="45"/>
        <v>9</v>
      </c>
      <c r="B737" s="12" t="str">
        <f t="shared" si="46"/>
        <v>Feb2025</v>
      </c>
      <c r="C737" s="12" t="str">
        <f t="shared" si="47"/>
        <v>Wednesday</v>
      </c>
      <c r="D737" s="13">
        <v>45714</v>
      </c>
      <c r="E737" s="14">
        <v>3</v>
      </c>
      <c r="F737" s="12">
        <v>10839296552</v>
      </c>
      <c r="G737" s="14" t="s">
        <v>4</v>
      </c>
      <c r="H737" s="14" t="s">
        <v>11</v>
      </c>
      <c r="I737" s="16" t="s">
        <v>19</v>
      </c>
      <c r="J737" s="14" t="str">
        <f t="shared" ca="1" si="44"/>
        <v>No</v>
      </c>
    </row>
    <row r="738" spans="1:10" x14ac:dyDescent="0.35">
      <c r="A738" s="12">
        <f t="shared" si="45"/>
        <v>9</v>
      </c>
      <c r="B738" s="12" t="str">
        <f t="shared" si="46"/>
        <v>Feb2025</v>
      </c>
      <c r="C738" s="12" t="str">
        <f t="shared" si="47"/>
        <v>Wednesday</v>
      </c>
      <c r="D738" s="13">
        <v>45714</v>
      </c>
      <c r="E738" s="14">
        <v>4</v>
      </c>
      <c r="F738" s="12">
        <v>10857904742</v>
      </c>
      <c r="G738" s="14" t="s">
        <v>4</v>
      </c>
      <c r="H738" s="14" t="s">
        <v>61</v>
      </c>
      <c r="I738" s="16" t="s">
        <v>213</v>
      </c>
      <c r="J738" s="14" t="str">
        <f t="shared" ca="1" si="44"/>
        <v>No</v>
      </c>
    </row>
    <row r="739" spans="1:10" x14ac:dyDescent="0.35">
      <c r="A739" s="12">
        <f t="shared" si="45"/>
        <v>9</v>
      </c>
      <c r="B739" s="12" t="str">
        <f t="shared" si="46"/>
        <v>Feb2025</v>
      </c>
      <c r="C739" s="12" t="str">
        <f t="shared" si="47"/>
        <v>Wednesday</v>
      </c>
      <c r="D739" s="13">
        <v>45714</v>
      </c>
      <c r="E739" s="14">
        <v>5</v>
      </c>
      <c r="F739" s="12">
        <v>10858270772</v>
      </c>
      <c r="G739" s="14" t="s">
        <v>7</v>
      </c>
      <c r="H739" s="14" t="s">
        <v>61</v>
      </c>
      <c r="I739" s="16" t="s">
        <v>18</v>
      </c>
      <c r="J739" s="14" t="str">
        <f t="shared" ca="1" si="44"/>
        <v>No</v>
      </c>
    </row>
    <row r="740" spans="1:10" x14ac:dyDescent="0.35">
      <c r="A740" s="12">
        <f t="shared" si="45"/>
        <v>9</v>
      </c>
      <c r="B740" s="12" t="str">
        <f t="shared" si="46"/>
        <v>Feb2025</v>
      </c>
      <c r="C740" s="12" t="str">
        <f t="shared" si="47"/>
        <v>Wednesday</v>
      </c>
      <c r="D740" s="13">
        <v>45714</v>
      </c>
      <c r="E740" s="14">
        <v>6</v>
      </c>
      <c r="F740" s="12">
        <v>10859095242</v>
      </c>
      <c r="G740" s="14" t="s">
        <v>4</v>
      </c>
      <c r="H740" s="14" t="s">
        <v>11</v>
      </c>
      <c r="I740" s="16" t="s">
        <v>189</v>
      </c>
      <c r="J740" s="14" t="str">
        <f t="shared" ca="1" si="44"/>
        <v>Yes</v>
      </c>
    </row>
    <row r="741" spans="1:10" x14ac:dyDescent="0.35">
      <c r="A741" s="12">
        <f t="shared" si="45"/>
        <v>9</v>
      </c>
      <c r="B741" s="12" t="str">
        <f t="shared" si="46"/>
        <v>Feb2025</v>
      </c>
      <c r="C741" s="12" t="str">
        <f t="shared" si="47"/>
        <v>Wednesday</v>
      </c>
      <c r="D741" s="13">
        <v>45714</v>
      </c>
      <c r="E741" s="14">
        <v>7</v>
      </c>
      <c r="F741" s="12">
        <v>10857549012</v>
      </c>
      <c r="G741" s="14" t="s">
        <v>7</v>
      </c>
      <c r="H741" s="14" t="s">
        <v>61</v>
      </c>
      <c r="I741" s="16" t="s">
        <v>209</v>
      </c>
      <c r="J741" s="14" t="str">
        <f t="shared" ca="1" si="44"/>
        <v>No</v>
      </c>
    </row>
    <row r="742" spans="1:10" x14ac:dyDescent="0.35">
      <c r="A742" s="12">
        <f t="shared" si="45"/>
        <v>9</v>
      </c>
      <c r="B742" s="12" t="str">
        <f t="shared" si="46"/>
        <v>Feb2025</v>
      </c>
      <c r="C742" s="12" t="str">
        <f t="shared" si="47"/>
        <v>Wednesday</v>
      </c>
      <c r="D742" s="13">
        <v>45714</v>
      </c>
      <c r="E742" s="14">
        <v>8</v>
      </c>
      <c r="F742" s="12">
        <v>10570036152</v>
      </c>
      <c r="G742" s="14" t="s">
        <v>3</v>
      </c>
      <c r="H742" s="14" t="s">
        <v>11</v>
      </c>
      <c r="I742" s="16" t="s">
        <v>64</v>
      </c>
      <c r="J742" s="14" t="str">
        <f t="shared" ca="1" si="44"/>
        <v>No</v>
      </c>
    </row>
    <row r="743" spans="1:10" x14ac:dyDescent="0.35">
      <c r="A743" s="12">
        <f t="shared" si="45"/>
        <v>9</v>
      </c>
      <c r="B743" s="12" t="str">
        <f t="shared" si="46"/>
        <v>Feb2025</v>
      </c>
      <c r="C743" s="12" t="str">
        <f t="shared" si="47"/>
        <v>Wednesday</v>
      </c>
      <c r="D743" s="13">
        <v>45714</v>
      </c>
      <c r="E743" s="14">
        <v>9</v>
      </c>
      <c r="F743" s="12">
        <v>10757948342</v>
      </c>
      <c r="G743" s="14" t="s">
        <v>3</v>
      </c>
      <c r="H743" s="14" t="s">
        <v>61</v>
      </c>
      <c r="I743" s="16" t="s">
        <v>16</v>
      </c>
      <c r="J743" s="14" t="str">
        <f t="shared" ca="1" si="44"/>
        <v>No</v>
      </c>
    </row>
    <row r="744" spans="1:10" x14ac:dyDescent="0.35">
      <c r="A744" s="12">
        <f t="shared" si="45"/>
        <v>9</v>
      </c>
      <c r="B744" s="12" t="str">
        <f t="shared" si="46"/>
        <v>Feb2025</v>
      </c>
      <c r="C744" s="12" t="str">
        <f t="shared" si="47"/>
        <v>Wednesday</v>
      </c>
      <c r="D744" s="13">
        <v>45714</v>
      </c>
      <c r="E744" s="14">
        <v>10</v>
      </c>
      <c r="F744" s="12">
        <v>10858821752</v>
      </c>
      <c r="G744" s="14" t="s">
        <v>4</v>
      </c>
      <c r="H744" s="14" t="s">
        <v>61</v>
      </c>
      <c r="I744" s="16" t="s">
        <v>198</v>
      </c>
      <c r="J744" s="14" t="str">
        <f t="shared" ca="1" si="44"/>
        <v>No</v>
      </c>
    </row>
    <row r="745" spans="1:10" x14ac:dyDescent="0.35">
      <c r="A745" s="12">
        <f t="shared" si="45"/>
        <v>9</v>
      </c>
      <c r="B745" s="12" t="str">
        <f t="shared" si="46"/>
        <v>Feb2025</v>
      </c>
      <c r="C745" s="12" t="str">
        <f t="shared" si="47"/>
        <v>Wednesday</v>
      </c>
      <c r="D745" s="13">
        <v>45714</v>
      </c>
      <c r="E745" s="14">
        <v>11</v>
      </c>
      <c r="F745" s="12">
        <v>10859067882</v>
      </c>
      <c r="G745" s="14" t="s">
        <v>7</v>
      </c>
      <c r="H745" s="14" t="s">
        <v>61</v>
      </c>
      <c r="I745" s="16" t="s">
        <v>18</v>
      </c>
      <c r="J745" s="14" t="str">
        <f t="shared" ca="1" si="44"/>
        <v>No</v>
      </c>
    </row>
    <row r="746" spans="1:10" x14ac:dyDescent="0.35">
      <c r="A746" s="12">
        <f t="shared" si="45"/>
        <v>9</v>
      </c>
      <c r="B746" s="12" t="str">
        <f t="shared" si="46"/>
        <v>Feb2025</v>
      </c>
      <c r="C746" s="12" t="str">
        <f t="shared" si="47"/>
        <v>Wednesday</v>
      </c>
      <c r="D746" s="13">
        <v>45714</v>
      </c>
      <c r="E746" s="14">
        <v>12</v>
      </c>
      <c r="F746" s="12">
        <v>10856929572</v>
      </c>
      <c r="G746" s="14" t="s">
        <v>10</v>
      </c>
      <c r="H746" s="14" t="s">
        <v>61</v>
      </c>
      <c r="I746" s="16" t="s">
        <v>104</v>
      </c>
      <c r="J746" s="14" t="str">
        <f t="shared" ca="1" si="44"/>
        <v>No</v>
      </c>
    </row>
    <row r="747" spans="1:10" x14ac:dyDescent="0.35">
      <c r="A747" s="12">
        <f t="shared" si="45"/>
        <v>9</v>
      </c>
      <c r="B747" s="12" t="str">
        <f t="shared" si="46"/>
        <v>Feb2025</v>
      </c>
      <c r="C747" s="12" t="str">
        <f t="shared" si="47"/>
        <v>Wednesday</v>
      </c>
      <c r="D747" s="13">
        <v>45714</v>
      </c>
      <c r="E747" s="14">
        <v>13</v>
      </c>
      <c r="F747" s="12">
        <v>10551683852</v>
      </c>
      <c r="G747" s="14" t="s">
        <v>3</v>
      </c>
      <c r="H747" s="14" t="s">
        <v>11</v>
      </c>
      <c r="I747" s="16" t="s">
        <v>16</v>
      </c>
      <c r="J747" s="14" t="str">
        <f t="shared" ca="1" si="44"/>
        <v>No</v>
      </c>
    </row>
    <row r="748" spans="1:10" x14ac:dyDescent="0.35">
      <c r="A748" s="12">
        <f t="shared" si="45"/>
        <v>9</v>
      </c>
      <c r="B748" s="12" t="str">
        <f t="shared" si="46"/>
        <v>Feb2025</v>
      </c>
      <c r="C748" s="12" t="str">
        <f t="shared" si="47"/>
        <v>Wednesday</v>
      </c>
      <c r="D748" s="13">
        <v>45714</v>
      </c>
      <c r="E748" s="14">
        <v>14</v>
      </c>
      <c r="F748" s="12">
        <v>10852216722</v>
      </c>
      <c r="G748" s="14" t="s">
        <v>4</v>
      </c>
      <c r="H748" s="14" t="s">
        <v>61</v>
      </c>
      <c r="I748" s="16" t="s">
        <v>29</v>
      </c>
      <c r="J748" s="14" t="str">
        <f t="shared" ca="1" si="44"/>
        <v>No</v>
      </c>
    </row>
    <row r="749" spans="1:10" x14ac:dyDescent="0.35">
      <c r="A749" s="12">
        <f t="shared" si="45"/>
        <v>9</v>
      </c>
      <c r="B749" s="12" t="str">
        <f t="shared" si="46"/>
        <v>Feb2025</v>
      </c>
      <c r="C749" s="12" t="str">
        <f t="shared" si="47"/>
        <v>Wednesday</v>
      </c>
      <c r="D749" s="13">
        <v>45714</v>
      </c>
      <c r="E749" s="14">
        <v>15</v>
      </c>
      <c r="F749" s="12">
        <v>10856802262</v>
      </c>
      <c r="G749" s="14" t="s">
        <v>4</v>
      </c>
      <c r="H749" s="14" t="s">
        <v>11</v>
      </c>
      <c r="I749" s="16" t="s">
        <v>92</v>
      </c>
      <c r="J749" s="14" t="str">
        <f t="shared" ca="1" si="44"/>
        <v>No</v>
      </c>
    </row>
    <row r="750" spans="1:10" x14ac:dyDescent="0.35">
      <c r="A750" s="12">
        <f t="shared" si="45"/>
        <v>9</v>
      </c>
      <c r="B750" s="12" t="str">
        <f t="shared" si="46"/>
        <v>Feb2025</v>
      </c>
      <c r="C750" s="12" t="str">
        <f t="shared" si="47"/>
        <v>Wednesday</v>
      </c>
      <c r="D750" s="13">
        <v>45714</v>
      </c>
      <c r="E750" s="14">
        <v>16</v>
      </c>
      <c r="F750" s="12">
        <v>10852936422</v>
      </c>
      <c r="G750" s="14" t="s">
        <v>4</v>
      </c>
      <c r="H750" s="14" t="s">
        <v>11</v>
      </c>
      <c r="I750" s="16" t="s">
        <v>154</v>
      </c>
      <c r="J750" s="14" t="str">
        <f t="shared" ca="1" si="44"/>
        <v>No</v>
      </c>
    </row>
    <row r="751" spans="1:10" x14ac:dyDescent="0.35">
      <c r="A751" s="12">
        <f t="shared" si="45"/>
        <v>9</v>
      </c>
      <c r="B751" s="12" t="str">
        <f t="shared" si="46"/>
        <v>Feb2025</v>
      </c>
      <c r="C751" s="12" t="str">
        <f t="shared" si="47"/>
        <v>Wednesday</v>
      </c>
      <c r="D751" s="13">
        <v>45714</v>
      </c>
      <c r="E751" s="14">
        <v>17</v>
      </c>
      <c r="F751" s="12">
        <v>10857575152</v>
      </c>
      <c r="G751" s="14" t="s">
        <v>7</v>
      </c>
      <c r="H751" s="14" t="s">
        <v>21</v>
      </c>
      <c r="I751" s="16" t="s">
        <v>11</v>
      </c>
      <c r="J751" s="14" t="str">
        <f t="shared" ca="1" si="44"/>
        <v>No</v>
      </c>
    </row>
    <row r="752" spans="1:10" x14ac:dyDescent="0.35">
      <c r="A752" s="12">
        <f t="shared" si="45"/>
        <v>9</v>
      </c>
      <c r="B752" s="12" t="str">
        <f t="shared" si="46"/>
        <v>Feb2025</v>
      </c>
      <c r="C752" s="12" t="str">
        <f t="shared" si="47"/>
        <v>Wednesday</v>
      </c>
      <c r="D752" s="13">
        <v>45714</v>
      </c>
      <c r="E752" s="14">
        <v>18</v>
      </c>
      <c r="F752" s="12">
        <v>10858342592</v>
      </c>
      <c r="G752" s="14" t="s">
        <v>4</v>
      </c>
      <c r="H752" s="14" t="s">
        <v>11</v>
      </c>
      <c r="I752" s="16" t="s">
        <v>94</v>
      </c>
      <c r="J752" s="14" t="str">
        <f t="shared" ca="1" si="44"/>
        <v>No</v>
      </c>
    </row>
    <row r="753" spans="1:10" x14ac:dyDescent="0.35">
      <c r="A753" s="12">
        <f t="shared" si="45"/>
        <v>9</v>
      </c>
      <c r="B753" s="12" t="str">
        <f t="shared" si="46"/>
        <v>Feb2025</v>
      </c>
      <c r="C753" s="12" t="str">
        <f t="shared" si="47"/>
        <v>Wednesday</v>
      </c>
      <c r="D753" s="13">
        <v>45714</v>
      </c>
      <c r="E753" s="14">
        <v>19</v>
      </c>
      <c r="F753" s="12">
        <v>10821456262</v>
      </c>
      <c r="G753" s="14" t="s">
        <v>4</v>
      </c>
      <c r="H753" s="14" t="s">
        <v>21</v>
      </c>
      <c r="I753" s="16" t="s">
        <v>24</v>
      </c>
      <c r="J753" s="14" t="str">
        <f t="shared" ca="1" si="44"/>
        <v>No</v>
      </c>
    </row>
    <row r="754" spans="1:10" x14ac:dyDescent="0.35">
      <c r="A754" s="12">
        <f t="shared" si="45"/>
        <v>9</v>
      </c>
      <c r="B754" s="12" t="str">
        <f t="shared" si="46"/>
        <v>Feb2025</v>
      </c>
      <c r="C754" s="12" t="str">
        <f t="shared" si="47"/>
        <v>Wednesday</v>
      </c>
      <c r="D754" s="13">
        <v>45714</v>
      </c>
      <c r="E754" s="14">
        <v>20</v>
      </c>
      <c r="F754" s="12">
        <v>10805909612</v>
      </c>
      <c r="G754" s="14" t="s">
        <v>4</v>
      </c>
      <c r="H754" s="14" t="s">
        <v>21</v>
      </c>
      <c r="I754" s="16" t="s">
        <v>24</v>
      </c>
      <c r="J754" s="14" t="str">
        <f t="shared" ca="1" si="44"/>
        <v>Yes</v>
      </c>
    </row>
    <row r="755" spans="1:10" x14ac:dyDescent="0.35">
      <c r="A755" s="12">
        <f t="shared" si="45"/>
        <v>9</v>
      </c>
      <c r="B755" s="12" t="str">
        <f t="shared" si="46"/>
        <v>Feb2025</v>
      </c>
      <c r="C755" s="12" t="str">
        <f t="shared" si="47"/>
        <v>Wednesday</v>
      </c>
      <c r="D755" s="13">
        <v>45714</v>
      </c>
      <c r="E755" s="14">
        <v>21</v>
      </c>
      <c r="F755" s="12">
        <v>10752315112</v>
      </c>
      <c r="G755" s="14" t="s">
        <v>3</v>
      </c>
      <c r="H755" s="14" t="s">
        <v>61</v>
      </c>
      <c r="I755" s="16" t="s">
        <v>16</v>
      </c>
      <c r="J755" s="14" t="str">
        <f t="shared" ca="1" si="44"/>
        <v>No</v>
      </c>
    </row>
    <row r="756" spans="1:10" x14ac:dyDescent="0.35">
      <c r="A756" s="12">
        <f t="shared" si="45"/>
        <v>9</v>
      </c>
      <c r="B756" s="12" t="str">
        <f t="shared" si="46"/>
        <v>Feb2025</v>
      </c>
      <c r="C756" s="12" t="str">
        <f t="shared" si="47"/>
        <v>Wednesday</v>
      </c>
      <c r="D756" s="13">
        <v>45714</v>
      </c>
      <c r="E756" s="14">
        <v>22</v>
      </c>
      <c r="F756" s="12">
        <v>10454337522</v>
      </c>
      <c r="G756" s="14" t="s">
        <v>5</v>
      </c>
      <c r="H756" s="14" t="s">
        <v>61</v>
      </c>
      <c r="I756" s="16" t="s">
        <v>29</v>
      </c>
      <c r="J756" s="14" t="str">
        <f t="shared" ca="1" si="44"/>
        <v>Yes</v>
      </c>
    </row>
    <row r="757" spans="1:10" x14ac:dyDescent="0.35">
      <c r="A757" s="12">
        <f t="shared" si="45"/>
        <v>9</v>
      </c>
      <c r="B757" s="12" t="str">
        <f t="shared" si="46"/>
        <v>Feb2025</v>
      </c>
      <c r="C757" s="12" t="str">
        <f t="shared" si="47"/>
        <v>Wednesday</v>
      </c>
      <c r="D757" s="13">
        <v>45714</v>
      </c>
      <c r="E757" s="14">
        <v>23</v>
      </c>
      <c r="F757" s="12">
        <v>10846593522</v>
      </c>
      <c r="G757" s="14" t="s">
        <v>4</v>
      </c>
      <c r="H757" s="14" t="s">
        <v>61</v>
      </c>
      <c r="I757" s="16" t="s">
        <v>96</v>
      </c>
      <c r="J757" s="14" t="str">
        <f t="shared" ca="1" si="44"/>
        <v>No</v>
      </c>
    </row>
    <row r="758" spans="1:10" x14ac:dyDescent="0.35">
      <c r="A758" s="12">
        <f t="shared" si="45"/>
        <v>9</v>
      </c>
      <c r="B758" s="12" t="str">
        <f t="shared" si="46"/>
        <v>Feb2025</v>
      </c>
      <c r="C758" s="12" t="str">
        <f t="shared" si="47"/>
        <v>Wednesday</v>
      </c>
      <c r="D758" s="13">
        <v>45714</v>
      </c>
      <c r="E758" s="14">
        <v>24</v>
      </c>
      <c r="F758" s="12">
        <v>10858766092</v>
      </c>
      <c r="G758" s="14" t="s">
        <v>3</v>
      </c>
      <c r="H758" s="14" t="s">
        <v>11</v>
      </c>
      <c r="I758" s="16" t="s">
        <v>214</v>
      </c>
      <c r="J758" s="14" t="str">
        <f t="shared" ca="1" si="44"/>
        <v>Yes</v>
      </c>
    </row>
    <row r="759" spans="1:10" x14ac:dyDescent="0.35">
      <c r="A759" s="12">
        <f t="shared" si="45"/>
        <v>9</v>
      </c>
      <c r="B759" s="12" t="str">
        <f t="shared" si="46"/>
        <v>Feb2025</v>
      </c>
      <c r="C759" s="12" t="str">
        <f t="shared" si="47"/>
        <v>Wednesday</v>
      </c>
      <c r="D759" s="13">
        <v>45714</v>
      </c>
      <c r="E759" s="14">
        <v>25</v>
      </c>
      <c r="F759" s="12">
        <v>10852936422</v>
      </c>
      <c r="G759" s="14" t="s">
        <v>4</v>
      </c>
      <c r="H759" s="14" t="s">
        <v>11</v>
      </c>
      <c r="I759" s="16" t="s">
        <v>154</v>
      </c>
      <c r="J759" s="14" t="str">
        <f t="shared" ca="1" si="44"/>
        <v>No</v>
      </c>
    </row>
    <row r="760" spans="1:10" x14ac:dyDescent="0.35">
      <c r="A760" s="12">
        <f t="shared" si="45"/>
        <v>9</v>
      </c>
      <c r="B760" s="12" t="str">
        <f t="shared" si="46"/>
        <v>Feb2025</v>
      </c>
      <c r="C760" s="12" t="str">
        <f t="shared" si="47"/>
        <v>Wednesday</v>
      </c>
      <c r="D760" s="13">
        <v>45714</v>
      </c>
      <c r="E760" s="14">
        <v>26</v>
      </c>
      <c r="F760" s="12">
        <v>10849461332</v>
      </c>
      <c r="G760" s="14" t="s">
        <v>4</v>
      </c>
      <c r="H760" s="14" t="s">
        <v>21</v>
      </c>
      <c r="I760" s="16" t="s">
        <v>33</v>
      </c>
      <c r="J760" s="14" t="str">
        <f t="shared" ca="1" si="44"/>
        <v>No</v>
      </c>
    </row>
    <row r="761" spans="1:10" x14ac:dyDescent="0.35">
      <c r="A761" s="12">
        <f t="shared" si="45"/>
        <v>9</v>
      </c>
      <c r="B761" s="12" t="str">
        <f t="shared" si="46"/>
        <v>Feb2025</v>
      </c>
      <c r="C761" s="12" t="str">
        <f t="shared" si="47"/>
        <v>Wednesday</v>
      </c>
      <c r="D761" s="13">
        <v>45714</v>
      </c>
      <c r="E761" s="14">
        <v>27</v>
      </c>
      <c r="F761" s="12">
        <v>10767768372</v>
      </c>
      <c r="G761" s="14" t="s">
        <v>3</v>
      </c>
      <c r="H761" s="14" t="s">
        <v>11</v>
      </c>
      <c r="I761" s="16" t="s">
        <v>16</v>
      </c>
      <c r="J761" s="14" t="str">
        <f t="shared" ca="1" si="44"/>
        <v>No</v>
      </c>
    </row>
    <row r="762" spans="1:10" x14ac:dyDescent="0.35">
      <c r="A762" s="12">
        <f t="shared" si="45"/>
        <v>9</v>
      </c>
      <c r="B762" s="12" t="str">
        <f t="shared" si="46"/>
        <v>Feb2025</v>
      </c>
      <c r="C762" s="12" t="str">
        <f t="shared" si="47"/>
        <v>Wednesday</v>
      </c>
      <c r="D762" s="13">
        <v>45714</v>
      </c>
      <c r="E762" s="14">
        <v>28</v>
      </c>
      <c r="F762" s="12">
        <v>10859700132</v>
      </c>
      <c r="G762" s="14" t="s">
        <v>4</v>
      </c>
      <c r="H762" s="14" t="s">
        <v>21</v>
      </c>
      <c r="I762" s="16" t="s">
        <v>24</v>
      </c>
      <c r="J762" s="14" t="str">
        <f t="shared" ca="1" si="44"/>
        <v>No</v>
      </c>
    </row>
    <row r="763" spans="1:10" x14ac:dyDescent="0.35">
      <c r="A763" s="12">
        <f t="shared" si="45"/>
        <v>9</v>
      </c>
      <c r="B763" s="12" t="str">
        <f t="shared" si="46"/>
        <v>Feb2025</v>
      </c>
      <c r="C763" s="12" t="str">
        <f t="shared" si="47"/>
        <v>Wednesday</v>
      </c>
      <c r="D763" s="13">
        <v>45714</v>
      </c>
      <c r="E763" s="14">
        <v>29</v>
      </c>
      <c r="F763" s="12">
        <v>10858599122</v>
      </c>
      <c r="G763" s="14" t="s">
        <v>4</v>
      </c>
      <c r="H763" s="14" t="s">
        <v>11</v>
      </c>
      <c r="I763" s="16" t="s">
        <v>138</v>
      </c>
      <c r="J763" s="14" t="str">
        <f t="shared" ca="1" si="44"/>
        <v>No</v>
      </c>
    </row>
    <row r="764" spans="1:10" x14ac:dyDescent="0.35">
      <c r="A764" s="12">
        <f t="shared" si="45"/>
        <v>9</v>
      </c>
      <c r="B764" s="12" t="str">
        <f t="shared" si="46"/>
        <v>Feb2025</v>
      </c>
      <c r="C764" s="12" t="str">
        <f t="shared" si="47"/>
        <v>Thursday</v>
      </c>
      <c r="D764" s="13">
        <v>45715</v>
      </c>
      <c r="E764" s="14">
        <v>1</v>
      </c>
      <c r="F764" s="12">
        <v>10827518102</v>
      </c>
      <c r="G764" s="14" t="s">
        <v>4</v>
      </c>
      <c r="H764" s="14" t="s">
        <v>21</v>
      </c>
      <c r="I764" s="16" t="s">
        <v>24</v>
      </c>
      <c r="J764" s="14" t="str">
        <f t="shared" ca="1" si="44"/>
        <v>No</v>
      </c>
    </row>
    <row r="765" spans="1:10" x14ac:dyDescent="0.35">
      <c r="A765" s="12">
        <f t="shared" si="45"/>
        <v>9</v>
      </c>
      <c r="B765" s="12" t="str">
        <f t="shared" si="46"/>
        <v>Feb2025</v>
      </c>
      <c r="C765" s="12" t="str">
        <f t="shared" si="47"/>
        <v>Thursday</v>
      </c>
      <c r="D765" s="13">
        <v>45715</v>
      </c>
      <c r="E765" s="14">
        <v>2</v>
      </c>
      <c r="F765" s="12">
        <v>10812911452</v>
      </c>
      <c r="G765" s="14" t="s">
        <v>3</v>
      </c>
      <c r="H765" s="14" t="s">
        <v>11</v>
      </c>
      <c r="I765" s="16" t="s">
        <v>12</v>
      </c>
      <c r="J765" s="14" t="str">
        <f t="shared" ca="1" si="44"/>
        <v>No</v>
      </c>
    </row>
    <row r="766" spans="1:10" x14ac:dyDescent="0.35">
      <c r="A766" s="12">
        <f t="shared" si="45"/>
        <v>9</v>
      </c>
      <c r="B766" s="12" t="str">
        <f t="shared" si="46"/>
        <v>Feb2025</v>
      </c>
      <c r="C766" s="12" t="str">
        <f t="shared" si="47"/>
        <v>Thursday</v>
      </c>
      <c r="D766" s="13">
        <v>45715</v>
      </c>
      <c r="E766" s="14">
        <v>3</v>
      </c>
      <c r="F766" s="12">
        <v>10861178122</v>
      </c>
      <c r="G766" s="14" t="s">
        <v>4</v>
      </c>
      <c r="H766" s="14" t="s">
        <v>61</v>
      </c>
      <c r="I766" s="16" t="s">
        <v>20</v>
      </c>
      <c r="J766" s="14" t="str">
        <f t="shared" ca="1" si="44"/>
        <v>No</v>
      </c>
    </row>
    <row r="767" spans="1:10" x14ac:dyDescent="0.35">
      <c r="A767" s="12">
        <f t="shared" si="45"/>
        <v>9</v>
      </c>
      <c r="B767" s="12" t="str">
        <f t="shared" si="46"/>
        <v>Feb2025</v>
      </c>
      <c r="C767" s="12" t="str">
        <f t="shared" si="47"/>
        <v>Thursday</v>
      </c>
      <c r="D767" s="13">
        <v>45715</v>
      </c>
      <c r="E767" s="14">
        <v>4</v>
      </c>
      <c r="F767" s="12">
        <v>10861173502</v>
      </c>
      <c r="G767" s="14" t="s">
        <v>4</v>
      </c>
      <c r="H767" s="14" t="s">
        <v>11</v>
      </c>
      <c r="I767" s="16" t="s">
        <v>92</v>
      </c>
      <c r="J767" s="14" t="str">
        <f t="shared" ca="1" si="44"/>
        <v>Yes</v>
      </c>
    </row>
    <row r="768" spans="1:10" x14ac:dyDescent="0.35">
      <c r="A768" s="12">
        <f t="shared" si="45"/>
        <v>9</v>
      </c>
      <c r="B768" s="12" t="str">
        <f t="shared" si="46"/>
        <v>Feb2025</v>
      </c>
      <c r="C768" s="12" t="str">
        <f t="shared" si="47"/>
        <v>Thursday</v>
      </c>
      <c r="D768" s="13">
        <v>45715</v>
      </c>
      <c r="E768" s="14">
        <v>5</v>
      </c>
      <c r="F768" s="12">
        <v>10825506002</v>
      </c>
      <c r="G768" s="14" t="s">
        <v>10</v>
      </c>
      <c r="H768" s="14" t="s">
        <v>21</v>
      </c>
      <c r="I768" s="16" t="s">
        <v>14</v>
      </c>
      <c r="J768" s="14" t="str">
        <f t="shared" ca="1" si="44"/>
        <v>No</v>
      </c>
    </row>
    <row r="769" spans="1:10" x14ac:dyDescent="0.35">
      <c r="A769" s="12">
        <f t="shared" si="45"/>
        <v>9</v>
      </c>
      <c r="B769" s="12" t="str">
        <f t="shared" si="46"/>
        <v>Feb2025</v>
      </c>
      <c r="C769" s="12" t="str">
        <f t="shared" si="47"/>
        <v>Thursday</v>
      </c>
      <c r="D769" s="13">
        <v>45715</v>
      </c>
      <c r="E769" s="14">
        <v>6</v>
      </c>
      <c r="F769" s="12">
        <v>10804973762</v>
      </c>
      <c r="G769" s="14" t="s">
        <v>3</v>
      </c>
      <c r="H769" s="14" t="s">
        <v>11</v>
      </c>
      <c r="I769" s="16" t="s">
        <v>16</v>
      </c>
      <c r="J769" s="14" t="str">
        <f t="shared" ca="1" si="44"/>
        <v>Yes</v>
      </c>
    </row>
    <row r="770" spans="1:10" x14ac:dyDescent="0.35">
      <c r="A770" s="12">
        <f t="shared" si="45"/>
        <v>9</v>
      </c>
      <c r="B770" s="12" t="str">
        <f t="shared" si="46"/>
        <v>Feb2025</v>
      </c>
      <c r="C770" s="12" t="str">
        <f t="shared" si="47"/>
        <v>Thursday</v>
      </c>
      <c r="D770" s="13">
        <v>45715</v>
      </c>
      <c r="E770" s="14">
        <v>7</v>
      </c>
      <c r="F770" s="12">
        <v>10858766092</v>
      </c>
      <c r="G770" s="14" t="s">
        <v>4</v>
      </c>
      <c r="H770" s="14" t="s">
        <v>11</v>
      </c>
      <c r="I770" s="16" t="s">
        <v>85</v>
      </c>
      <c r="J770" s="14" t="str">
        <f t="shared" ref="J770:J833" ca="1" si="48">IF(RAND()&lt;0.2,"Yes","No")</f>
        <v>Yes</v>
      </c>
    </row>
    <row r="771" spans="1:10" x14ac:dyDescent="0.35">
      <c r="A771" s="12">
        <f t="shared" ref="A771:A834" si="49">WEEKNUM(D771)</f>
        <v>9</v>
      </c>
      <c r="B771" s="12" t="str">
        <f t="shared" ref="B771:B834" si="50">TEXT(D771,"MMMYYYY")</f>
        <v>Feb2025</v>
      </c>
      <c r="C771" s="12" t="str">
        <f t="shared" ref="C771:C834" si="51">TEXT(D771,"dddd")</f>
        <v>Thursday</v>
      </c>
      <c r="D771" s="13">
        <v>45715</v>
      </c>
      <c r="E771" s="14">
        <v>8</v>
      </c>
      <c r="F771" s="12">
        <v>10857123742</v>
      </c>
      <c r="G771" s="14" t="s">
        <v>4</v>
      </c>
      <c r="H771" s="14" t="s">
        <v>11</v>
      </c>
      <c r="I771" s="16" t="s">
        <v>215</v>
      </c>
      <c r="J771" s="14" t="str">
        <f t="shared" ca="1" si="48"/>
        <v>Yes</v>
      </c>
    </row>
    <row r="772" spans="1:10" x14ac:dyDescent="0.35">
      <c r="A772" s="12">
        <f t="shared" si="49"/>
        <v>9</v>
      </c>
      <c r="B772" s="12" t="str">
        <f t="shared" si="50"/>
        <v>Feb2025</v>
      </c>
      <c r="C772" s="12" t="str">
        <f t="shared" si="51"/>
        <v>Thursday</v>
      </c>
      <c r="D772" s="13">
        <v>45715</v>
      </c>
      <c r="E772" s="14">
        <v>9</v>
      </c>
      <c r="F772" s="12">
        <v>10825931592</v>
      </c>
      <c r="G772" s="14" t="s">
        <v>7</v>
      </c>
      <c r="H772" s="14" t="s">
        <v>21</v>
      </c>
      <c r="I772" s="16" t="s">
        <v>216</v>
      </c>
      <c r="J772" s="14" t="str">
        <f t="shared" ca="1" si="48"/>
        <v>No</v>
      </c>
    </row>
    <row r="773" spans="1:10" x14ac:dyDescent="0.35">
      <c r="A773" s="12">
        <f t="shared" si="49"/>
        <v>9</v>
      </c>
      <c r="B773" s="12" t="str">
        <f t="shared" si="50"/>
        <v>Feb2025</v>
      </c>
      <c r="C773" s="12" t="str">
        <f t="shared" si="51"/>
        <v>Thursday</v>
      </c>
      <c r="D773" s="13">
        <v>45715</v>
      </c>
      <c r="E773" s="14">
        <v>10</v>
      </c>
      <c r="F773" s="12">
        <v>10790791742</v>
      </c>
      <c r="G773" s="14" t="s">
        <v>3</v>
      </c>
      <c r="H773" s="14" t="s">
        <v>11</v>
      </c>
      <c r="I773" s="16" t="s">
        <v>16</v>
      </c>
      <c r="J773" s="14" t="str">
        <f t="shared" ca="1" si="48"/>
        <v>No</v>
      </c>
    </row>
    <row r="774" spans="1:10" x14ac:dyDescent="0.35">
      <c r="A774" s="12">
        <f t="shared" si="49"/>
        <v>9</v>
      </c>
      <c r="B774" s="12" t="str">
        <f t="shared" si="50"/>
        <v>Feb2025</v>
      </c>
      <c r="C774" s="12" t="str">
        <f t="shared" si="51"/>
        <v>Thursday</v>
      </c>
      <c r="D774" s="13">
        <v>45715</v>
      </c>
      <c r="E774" s="14">
        <v>11</v>
      </c>
      <c r="F774" s="12">
        <v>10861215552</v>
      </c>
      <c r="G774" s="14" t="s">
        <v>4</v>
      </c>
      <c r="H774" s="14" t="s">
        <v>11</v>
      </c>
      <c r="I774" s="16" t="s">
        <v>217</v>
      </c>
      <c r="J774" s="14" t="str">
        <f t="shared" ca="1" si="48"/>
        <v>No</v>
      </c>
    </row>
    <row r="775" spans="1:10" x14ac:dyDescent="0.35">
      <c r="A775" s="12">
        <f t="shared" si="49"/>
        <v>9</v>
      </c>
      <c r="B775" s="12" t="str">
        <f t="shared" si="50"/>
        <v>Feb2025</v>
      </c>
      <c r="C775" s="12" t="str">
        <f t="shared" si="51"/>
        <v>Thursday</v>
      </c>
      <c r="D775" s="13">
        <v>45715</v>
      </c>
      <c r="E775" s="14">
        <v>12</v>
      </c>
      <c r="F775" s="12">
        <v>10103993222</v>
      </c>
      <c r="G775" s="14" t="s">
        <v>3</v>
      </c>
      <c r="H775" s="14" t="s">
        <v>11</v>
      </c>
      <c r="I775" s="16" t="s">
        <v>16</v>
      </c>
      <c r="J775" s="14" t="str">
        <f t="shared" ca="1" si="48"/>
        <v>No</v>
      </c>
    </row>
    <row r="776" spans="1:10" x14ac:dyDescent="0.35">
      <c r="A776" s="12">
        <f t="shared" si="49"/>
        <v>9</v>
      </c>
      <c r="B776" s="12" t="str">
        <f t="shared" si="50"/>
        <v>Feb2025</v>
      </c>
      <c r="C776" s="12" t="str">
        <f t="shared" si="51"/>
        <v>Thursday</v>
      </c>
      <c r="D776" s="13">
        <v>45715</v>
      </c>
      <c r="E776" s="14">
        <v>13</v>
      </c>
      <c r="F776" s="12">
        <v>10861596382</v>
      </c>
      <c r="G776" s="14" t="s">
        <v>3</v>
      </c>
      <c r="H776" s="14" t="s">
        <v>11</v>
      </c>
      <c r="I776" s="16" t="s">
        <v>16</v>
      </c>
      <c r="J776" s="14" t="str">
        <f t="shared" ca="1" si="48"/>
        <v>No</v>
      </c>
    </row>
    <row r="777" spans="1:10" x14ac:dyDescent="0.35">
      <c r="A777" s="12">
        <f t="shared" si="49"/>
        <v>9</v>
      </c>
      <c r="B777" s="12" t="str">
        <f t="shared" si="50"/>
        <v>Feb2025</v>
      </c>
      <c r="C777" s="12" t="str">
        <f t="shared" si="51"/>
        <v>Thursday</v>
      </c>
      <c r="D777" s="13">
        <v>45715</v>
      </c>
      <c r="E777" s="14">
        <v>14</v>
      </c>
      <c r="F777" s="12">
        <v>10859352772</v>
      </c>
      <c r="G777" s="14" t="s">
        <v>4</v>
      </c>
      <c r="H777" s="14" t="s">
        <v>21</v>
      </c>
      <c r="I777" s="16" t="s">
        <v>76</v>
      </c>
      <c r="J777" s="14" t="str">
        <f t="shared" ca="1" si="48"/>
        <v>Yes</v>
      </c>
    </row>
    <row r="778" spans="1:10" x14ac:dyDescent="0.35">
      <c r="A778" s="12">
        <f t="shared" si="49"/>
        <v>9</v>
      </c>
      <c r="B778" s="12" t="str">
        <f t="shared" si="50"/>
        <v>Feb2025</v>
      </c>
      <c r="C778" s="12" t="str">
        <f t="shared" si="51"/>
        <v>Thursday</v>
      </c>
      <c r="D778" s="13">
        <v>45715</v>
      </c>
      <c r="E778" s="14">
        <v>15</v>
      </c>
      <c r="F778" s="12">
        <v>10862886852</v>
      </c>
      <c r="G778" s="14" t="s">
        <v>4</v>
      </c>
      <c r="H778" s="14" t="s">
        <v>11</v>
      </c>
      <c r="I778" s="16" t="s">
        <v>38</v>
      </c>
      <c r="J778" s="14" t="str">
        <f t="shared" ca="1" si="48"/>
        <v>No</v>
      </c>
    </row>
    <row r="779" spans="1:10" x14ac:dyDescent="0.35">
      <c r="A779" s="12">
        <f t="shared" si="49"/>
        <v>9</v>
      </c>
      <c r="B779" s="12" t="str">
        <f t="shared" si="50"/>
        <v>Feb2025</v>
      </c>
      <c r="C779" s="12" t="str">
        <f t="shared" si="51"/>
        <v>Thursday</v>
      </c>
      <c r="D779" s="13">
        <v>45715</v>
      </c>
      <c r="E779" s="14">
        <v>16</v>
      </c>
      <c r="F779" s="12">
        <v>10827620252</v>
      </c>
      <c r="G779" s="14" t="s">
        <v>5</v>
      </c>
      <c r="H779" s="14" t="s">
        <v>21</v>
      </c>
      <c r="I779" s="16" t="s">
        <v>46</v>
      </c>
      <c r="J779" s="14" t="str">
        <f t="shared" ca="1" si="48"/>
        <v>No</v>
      </c>
    </row>
    <row r="780" spans="1:10" x14ac:dyDescent="0.35">
      <c r="A780" s="12">
        <f t="shared" si="49"/>
        <v>9</v>
      </c>
      <c r="B780" s="12" t="str">
        <f t="shared" si="50"/>
        <v>Feb2025</v>
      </c>
      <c r="C780" s="12" t="str">
        <f t="shared" si="51"/>
        <v>Thursday</v>
      </c>
      <c r="D780" s="13">
        <v>45715</v>
      </c>
      <c r="E780" s="14">
        <v>17</v>
      </c>
      <c r="F780" s="12">
        <v>10863015742</v>
      </c>
      <c r="G780" s="14" t="s">
        <v>4</v>
      </c>
      <c r="H780" s="14" t="s">
        <v>11</v>
      </c>
      <c r="I780" s="16" t="s">
        <v>142</v>
      </c>
      <c r="J780" s="14" t="str">
        <f t="shared" ca="1" si="48"/>
        <v>Yes</v>
      </c>
    </row>
    <row r="781" spans="1:10" x14ac:dyDescent="0.35">
      <c r="A781" s="12">
        <f t="shared" si="49"/>
        <v>9</v>
      </c>
      <c r="B781" s="12" t="str">
        <f t="shared" si="50"/>
        <v>Feb2025</v>
      </c>
      <c r="C781" s="12" t="str">
        <f t="shared" si="51"/>
        <v>Thursday</v>
      </c>
      <c r="D781" s="13">
        <v>45715</v>
      </c>
      <c r="E781" s="14">
        <v>18</v>
      </c>
      <c r="F781" s="12">
        <v>10766788132</v>
      </c>
      <c r="G781" s="14" t="s">
        <v>3</v>
      </c>
      <c r="H781" s="14" t="s">
        <v>11</v>
      </c>
      <c r="I781" s="16" t="s">
        <v>16</v>
      </c>
      <c r="J781" s="14" t="str">
        <f t="shared" ca="1" si="48"/>
        <v>Yes</v>
      </c>
    </row>
    <row r="782" spans="1:10" x14ac:dyDescent="0.35">
      <c r="A782" s="12">
        <f t="shared" si="49"/>
        <v>9</v>
      </c>
      <c r="B782" s="12" t="str">
        <f t="shared" si="50"/>
        <v>Feb2025</v>
      </c>
      <c r="C782" s="12" t="str">
        <f t="shared" si="51"/>
        <v>Thursday</v>
      </c>
      <c r="D782" s="13">
        <v>45715</v>
      </c>
      <c r="E782" s="14">
        <v>19</v>
      </c>
      <c r="F782" s="12">
        <v>10862544322</v>
      </c>
      <c r="G782" s="14" t="s">
        <v>4</v>
      </c>
      <c r="H782" s="14" t="s">
        <v>61</v>
      </c>
      <c r="I782" s="16" t="s">
        <v>49</v>
      </c>
      <c r="J782" s="14" t="str">
        <f t="shared" ca="1" si="48"/>
        <v>No</v>
      </c>
    </row>
    <row r="783" spans="1:10" x14ac:dyDescent="0.35">
      <c r="A783" s="12">
        <f t="shared" si="49"/>
        <v>9</v>
      </c>
      <c r="B783" s="12" t="str">
        <f t="shared" si="50"/>
        <v>Feb2025</v>
      </c>
      <c r="C783" s="12" t="str">
        <f t="shared" si="51"/>
        <v>Thursday</v>
      </c>
      <c r="D783" s="13">
        <v>45715</v>
      </c>
      <c r="E783" s="14">
        <v>20</v>
      </c>
      <c r="F783" s="12">
        <v>10847353372</v>
      </c>
      <c r="G783" s="14" t="s">
        <v>3</v>
      </c>
      <c r="H783" s="14" t="s">
        <v>11</v>
      </c>
      <c r="I783" s="16" t="s">
        <v>64</v>
      </c>
      <c r="J783" s="14" t="str">
        <f t="shared" ca="1" si="48"/>
        <v>No</v>
      </c>
    </row>
    <row r="784" spans="1:10" x14ac:dyDescent="0.35">
      <c r="A784" s="12">
        <f t="shared" si="49"/>
        <v>9</v>
      </c>
      <c r="B784" s="12" t="str">
        <f t="shared" si="50"/>
        <v>Feb2025</v>
      </c>
      <c r="C784" s="12" t="str">
        <f t="shared" si="51"/>
        <v>Thursday</v>
      </c>
      <c r="D784" s="13">
        <v>45715</v>
      </c>
      <c r="E784" s="14">
        <v>21</v>
      </c>
      <c r="F784" s="12">
        <v>10861663602</v>
      </c>
      <c r="G784" s="14" t="s">
        <v>4</v>
      </c>
      <c r="H784" s="14" t="s">
        <v>11</v>
      </c>
      <c r="I784" s="16" t="s">
        <v>13</v>
      </c>
      <c r="J784" s="14" t="str">
        <f t="shared" ca="1" si="48"/>
        <v>Yes</v>
      </c>
    </row>
    <row r="785" spans="1:10" x14ac:dyDescent="0.35">
      <c r="A785" s="12">
        <f t="shared" si="49"/>
        <v>9</v>
      </c>
      <c r="B785" s="12" t="str">
        <f t="shared" si="50"/>
        <v>Feb2025</v>
      </c>
      <c r="C785" s="12" t="str">
        <f t="shared" si="51"/>
        <v>Thursday</v>
      </c>
      <c r="D785" s="13">
        <v>45715</v>
      </c>
      <c r="E785" s="14">
        <v>22</v>
      </c>
      <c r="F785" s="12">
        <v>10852936422</v>
      </c>
      <c r="G785" s="14" t="s">
        <v>7</v>
      </c>
      <c r="H785" s="14" t="s">
        <v>11</v>
      </c>
      <c r="I785" s="16" t="s">
        <v>79</v>
      </c>
      <c r="J785" s="14" t="str">
        <f t="shared" ca="1" si="48"/>
        <v>Yes</v>
      </c>
    </row>
    <row r="786" spans="1:10" x14ac:dyDescent="0.35">
      <c r="A786" s="12">
        <f t="shared" si="49"/>
        <v>9</v>
      </c>
      <c r="B786" s="12" t="str">
        <f t="shared" si="50"/>
        <v>Feb2025</v>
      </c>
      <c r="C786" s="12" t="str">
        <f t="shared" si="51"/>
        <v>Thursday</v>
      </c>
      <c r="D786" s="13">
        <v>45715</v>
      </c>
      <c r="E786" s="14">
        <v>23</v>
      </c>
      <c r="F786" s="12">
        <v>10859352772</v>
      </c>
      <c r="G786" s="14" t="s">
        <v>4</v>
      </c>
      <c r="H786" s="14" t="s">
        <v>21</v>
      </c>
      <c r="I786" s="16" t="s">
        <v>22</v>
      </c>
      <c r="J786" s="14" t="str">
        <f t="shared" ca="1" si="48"/>
        <v>No</v>
      </c>
    </row>
    <row r="787" spans="1:10" x14ac:dyDescent="0.35">
      <c r="A787" s="12">
        <f t="shared" si="49"/>
        <v>9</v>
      </c>
      <c r="B787" s="12" t="str">
        <f t="shared" si="50"/>
        <v>Feb2025</v>
      </c>
      <c r="C787" s="12" t="str">
        <f t="shared" si="51"/>
        <v>Thursday</v>
      </c>
      <c r="D787" s="13">
        <v>45715</v>
      </c>
      <c r="E787" s="14">
        <v>24</v>
      </c>
      <c r="F787" s="12">
        <v>10863401852</v>
      </c>
      <c r="G787" s="14" t="s">
        <v>10</v>
      </c>
      <c r="H787" s="14" t="s">
        <v>11</v>
      </c>
      <c r="I787" s="16" t="s">
        <v>100</v>
      </c>
      <c r="J787" s="14" t="str">
        <f t="shared" ca="1" si="48"/>
        <v>Yes</v>
      </c>
    </row>
    <row r="788" spans="1:10" x14ac:dyDescent="0.35">
      <c r="A788" s="12">
        <f t="shared" si="49"/>
        <v>9</v>
      </c>
      <c r="B788" s="12" t="str">
        <f t="shared" si="50"/>
        <v>Feb2025</v>
      </c>
      <c r="C788" s="12" t="str">
        <f t="shared" si="51"/>
        <v>Thursday</v>
      </c>
      <c r="D788" s="13">
        <v>45715</v>
      </c>
      <c r="E788" s="14">
        <v>25</v>
      </c>
      <c r="F788" s="12">
        <v>10861360112</v>
      </c>
      <c r="G788" s="14" t="s">
        <v>4</v>
      </c>
      <c r="H788" s="14" t="s">
        <v>11</v>
      </c>
      <c r="I788" s="16" t="s">
        <v>22</v>
      </c>
      <c r="J788" s="14" t="str">
        <f t="shared" ca="1" si="48"/>
        <v>No</v>
      </c>
    </row>
    <row r="789" spans="1:10" x14ac:dyDescent="0.35">
      <c r="A789" s="12">
        <f t="shared" si="49"/>
        <v>9</v>
      </c>
      <c r="B789" s="12" t="str">
        <f t="shared" si="50"/>
        <v>Feb2025</v>
      </c>
      <c r="C789" s="12" t="str">
        <f t="shared" si="51"/>
        <v>Thursday</v>
      </c>
      <c r="D789" s="13">
        <v>45715</v>
      </c>
      <c r="E789" s="14">
        <v>26</v>
      </c>
      <c r="F789" s="12">
        <v>10862855252</v>
      </c>
      <c r="G789" s="14" t="s">
        <v>4</v>
      </c>
      <c r="H789" s="14" t="s">
        <v>11</v>
      </c>
      <c r="I789" s="16" t="s">
        <v>100</v>
      </c>
      <c r="J789" s="14" t="str">
        <f t="shared" ca="1" si="48"/>
        <v>No</v>
      </c>
    </row>
    <row r="790" spans="1:10" x14ac:dyDescent="0.35">
      <c r="A790" s="12">
        <f t="shared" si="49"/>
        <v>9</v>
      </c>
      <c r="B790" s="12" t="str">
        <f t="shared" si="50"/>
        <v>Feb2025</v>
      </c>
      <c r="C790" s="12" t="str">
        <f t="shared" si="51"/>
        <v>Thursday</v>
      </c>
      <c r="D790" s="13">
        <v>45715</v>
      </c>
      <c r="E790" s="14">
        <v>27</v>
      </c>
      <c r="F790" s="12">
        <v>10863013962</v>
      </c>
      <c r="G790" s="14" t="s">
        <v>4</v>
      </c>
      <c r="H790" s="14" t="s">
        <v>21</v>
      </c>
      <c r="I790" s="16" t="s">
        <v>100</v>
      </c>
      <c r="J790" s="14" t="str">
        <f t="shared" ca="1" si="48"/>
        <v>No</v>
      </c>
    </row>
    <row r="791" spans="1:10" x14ac:dyDescent="0.35">
      <c r="A791" s="12">
        <f t="shared" si="49"/>
        <v>9</v>
      </c>
      <c r="B791" s="12" t="str">
        <f t="shared" si="50"/>
        <v>Feb2025</v>
      </c>
      <c r="C791" s="12" t="str">
        <f t="shared" si="51"/>
        <v>Thursday</v>
      </c>
      <c r="D791" s="13">
        <v>45715</v>
      </c>
      <c r="E791" s="14">
        <v>28</v>
      </c>
      <c r="F791" s="12">
        <v>10863175752</v>
      </c>
      <c r="G791" s="14" t="s">
        <v>7</v>
      </c>
      <c r="H791" s="14" t="s">
        <v>21</v>
      </c>
      <c r="I791" s="16" t="s">
        <v>194</v>
      </c>
      <c r="J791" s="14" t="str">
        <f t="shared" ca="1" si="48"/>
        <v>No</v>
      </c>
    </row>
    <row r="792" spans="1:10" x14ac:dyDescent="0.35">
      <c r="A792" s="12">
        <f t="shared" si="49"/>
        <v>9</v>
      </c>
      <c r="B792" s="12" t="str">
        <f t="shared" si="50"/>
        <v>Feb2025</v>
      </c>
      <c r="C792" s="12" t="str">
        <f t="shared" si="51"/>
        <v>Thursday</v>
      </c>
      <c r="D792" s="13">
        <v>45715</v>
      </c>
      <c r="E792" s="14">
        <v>29</v>
      </c>
      <c r="F792" s="12">
        <v>10846126622</v>
      </c>
      <c r="G792" s="14" t="s">
        <v>3</v>
      </c>
      <c r="H792" s="14" t="s">
        <v>11</v>
      </c>
      <c r="I792" s="16" t="s">
        <v>64</v>
      </c>
      <c r="J792" s="14" t="str">
        <f t="shared" ca="1" si="48"/>
        <v>No</v>
      </c>
    </row>
    <row r="793" spans="1:10" x14ac:dyDescent="0.35">
      <c r="A793" s="12">
        <f t="shared" si="49"/>
        <v>9</v>
      </c>
      <c r="B793" s="12" t="str">
        <f t="shared" si="50"/>
        <v>Feb2025</v>
      </c>
      <c r="C793" s="12" t="str">
        <f t="shared" si="51"/>
        <v>Friday</v>
      </c>
      <c r="D793" s="13">
        <v>45716</v>
      </c>
      <c r="E793" s="14">
        <v>1</v>
      </c>
      <c r="F793" s="12">
        <v>10849063542</v>
      </c>
      <c r="G793" s="14" t="s">
        <v>4</v>
      </c>
      <c r="H793" s="14" t="s">
        <v>21</v>
      </c>
      <c r="I793" s="16" t="s">
        <v>24</v>
      </c>
      <c r="J793" s="14" t="str">
        <f t="shared" ca="1" si="48"/>
        <v>No</v>
      </c>
    </row>
    <row r="794" spans="1:10" x14ac:dyDescent="0.35">
      <c r="A794" s="12">
        <f t="shared" si="49"/>
        <v>9</v>
      </c>
      <c r="B794" s="12" t="str">
        <f t="shared" si="50"/>
        <v>Feb2025</v>
      </c>
      <c r="C794" s="12" t="str">
        <f t="shared" si="51"/>
        <v>Friday</v>
      </c>
      <c r="D794" s="13">
        <v>45716</v>
      </c>
      <c r="E794" s="14">
        <v>2</v>
      </c>
      <c r="F794" s="12">
        <v>10824428332</v>
      </c>
      <c r="G794" s="14" t="s">
        <v>4</v>
      </c>
      <c r="H794" s="14" t="s">
        <v>11</v>
      </c>
      <c r="I794" s="16" t="s">
        <v>64</v>
      </c>
      <c r="J794" s="14" t="str">
        <f t="shared" ca="1" si="48"/>
        <v>No</v>
      </c>
    </row>
    <row r="795" spans="1:10" x14ac:dyDescent="0.35">
      <c r="A795" s="12">
        <f t="shared" si="49"/>
        <v>9</v>
      </c>
      <c r="B795" s="12" t="str">
        <f t="shared" si="50"/>
        <v>Feb2025</v>
      </c>
      <c r="C795" s="12" t="str">
        <f t="shared" si="51"/>
        <v>Friday</v>
      </c>
      <c r="D795" s="13">
        <v>45716</v>
      </c>
      <c r="E795" s="14">
        <v>3</v>
      </c>
      <c r="F795" s="12">
        <v>10867980372</v>
      </c>
      <c r="G795" s="14" t="s">
        <v>3</v>
      </c>
      <c r="H795" s="14" t="s">
        <v>61</v>
      </c>
      <c r="I795" s="16" t="s">
        <v>16</v>
      </c>
      <c r="J795" s="14" t="str">
        <f t="shared" ca="1" si="48"/>
        <v>No</v>
      </c>
    </row>
    <row r="796" spans="1:10" x14ac:dyDescent="0.35">
      <c r="A796" s="12">
        <f t="shared" si="49"/>
        <v>9</v>
      </c>
      <c r="B796" s="12" t="str">
        <f t="shared" si="50"/>
        <v>Feb2025</v>
      </c>
      <c r="C796" s="12" t="str">
        <f t="shared" si="51"/>
        <v>Friday</v>
      </c>
      <c r="D796" s="13">
        <v>45716</v>
      </c>
      <c r="E796" s="14">
        <v>4</v>
      </c>
      <c r="F796" s="12">
        <v>10847011312</v>
      </c>
      <c r="G796" s="14" t="s">
        <v>3</v>
      </c>
      <c r="H796" s="14" t="s">
        <v>11</v>
      </c>
      <c r="I796" s="16" t="s">
        <v>16</v>
      </c>
      <c r="J796" s="14" t="str">
        <f t="shared" ca="1" si="48"/>
        <v>No</v>
      </c>
    </row>
    <row r="797" spans="1:10" x14ac:dyDescent="0.35">
      <c r="A797" s="12">
        <f t="shared" si="49"/>
        <v>9</v>
      </c>
      <c r="B797" s="12" t="str">
        <f t="shared" si="50"/>
        <v>Feb2025</v>
      </c>
      <c r="C797" s="12" t="str">
        <f t="shared" si="51"/>
        <v>Friday</v>
      </c>
      <c r="D797" s="13">
        <v>45716</v>
      </c>
      <c r="E797" s="14">
        <v>5</v>
      </c>
      <c r="F797" s="12">
        <v>10867568422</v>
      </c>
      <c r="G797" s="14" t="s">
        <v>4</v>
      </c>
      <c r="H797" s="14" t="s">
        <v>11</v>
      </c>
      <c r="I797" s="16" t="s">
        <v>86</v>
      </c>
      <c r="J797" s="14" t="str">
        <f t="shared" ca="1" si="48"/>
        <v>Yes</v>
      </c>
    </row>
    <row r="798" spans="1:10" x14ac:dyDescent="0.35">
      <c r="A798" s="12">
        <f t="shared" si="49"/>
        <v>9</v>
      </c>
      <c r="B798" s="12" t="str">
        <f t="shared" si="50"/>
        <v>Feb2025</v>
      </c>
      <c r="C798" s="12" t="str">
        <f t="shared" si="51"/>
        <v>Friday</v>
      </c>
      <c r="D798" s="13">
        <v>45716</v>
      </c>
      <c r="E798" s="14">
        <v>6</v>
      </c>
      <c r="F798" s="12">
        <v>10868333252</v>
      </c>
      <c r="G798" s="14" t="s">
        <v>7</v>
      </c>
      <c r="H798" s="14" t="s">
        <v>61</v>
      </c>
      <c r="I798" s="16" t="s">
        <v>209</v>
      </c>
      <c r="J798" s="14" t="str">
        <f t="shared" ca="1" si="48"/>
        <v>No</v>
      </c>
    </row>
    <row r="799" spans="1:10" x14ac:dyDescent="0.35">
      <c r="A799" s="12">
        <f t="shared" si="49"/>
        <v>9</v>
      </c>
      <c r="B799" s="12" t="str">
        <f t="shared" si="50"/>
        <v>Feb2025</v>
      </c>
      <c r="C799" s="12" t="str">
        <f t="shared" si="51"/>
        <v>Friday</v>
      </c>
      <c r="D799" s="13">
        <v>45716</v>
      </c>
      <c r="E799" s="14">
        <v>7</v>
      </c>
      <c r="F799" s="12">
        <v>10867707642</v>
      </c>
      <c r="G799" s="14" t="s">
        <v>10</v>
      </c>
      <c r="H799" s="14" t="s">
        <v>11</v>
      </c>
      <c r="I799" s="16" t="s">
        <v>142</v>
      </c>
      <c r="J799" s="14" t="str">
        <f t="shared" ca="1" si="48"/>
        <v>Yes</v>
      </c>
    </row>
    <row r="800" spans="1:10" x14ac:dyDescent="0.35">
      <c r="A800" s="12">
        <f t="shared" si="49"/>
        <v>9</v>
      </c>
      <c r="B800" s="12" t="str">
        <f t="shared" si="50"/>
        <v>Feb2025</v>
      </c>
      <c r="C800" s="12" t="str">
        <f t="shared" si="51"/>
        <v>Friday</v>
      </c>
      <c r="D800" s="13">
        <v>45716</v>
      </c>
      <c r="E800" s="14">
        <v>8</v>
      </c>
      <c r="F800" s="12">
        <v>10846394032</v>
      </c>
      <c r="G800" s="14" t="s">
        <v>4</v>
      </c>
      <c r="H800" s="14" t="s">
        <v>11</v>
      </c>
      <c r="I800" s="16" t="s">
        <v>63</v>
      </c>
      <c r="J800" s="14" t="str">
        <f t="shared" ca="1" si="48"/>
        <v>No</v>
      </c>
    </row>
    <row r="801" spans="1:10" x14ac:dyDescent="0.35">
      <c r="A801" s="12">
        <f t="shared" si="49"/>
        <v>9</v>
      </c>
      <c r="B801" s="12" t="str">
        <f t="shared" si="50"/>
        <v>Feb2025</v>
      </c>
      <c r="C801" s="12" t="str">
        <f t="shared" si="51"/>
        <v>Friday</v>
      </c>
      <c r="D801" s="13">
        <v>45716</v>
      </c>
      <c r="E801" s="14">
        <v>9</v>
      </c>
      <c r="F801" s="12">
        <v>10862526522</v>
      </c>
      <c r="G801" s="14" t="s">
        <v>4</v>
      </c>
      <c r="H801" s="14" t="s">
        <v>21</v>
      </c>
      <c r="I801" s="16" t="s">
        <v>22</v>
      </c>
      <c r="J801" s="14" t="str">
        <f t="shared" ca="1" si="48"/>
        <v>No</v>
      </c>
    </row>
    <row r="802" spans="1:10" x14ac:dyDescent="0.35">
      <c r="A802" s="12">
        <f t="shared" si="49"/>
        <v>9</v>
      </c>
      <c r="B802" s="12" t="str">
        <f t="shared" si="50"/>
        <v>Feb2025</v>
      </c>
      <c r="C802" s="12" t="str">
        <f t="shared" si="51"/>
        <v>Friday</v>
      </c>
      <c r="D802" s="13">
        <v>45716</v>
      </c>
      <c r="E802" s="14">
        <v>10</v>
      </c>
      <c r="F802" s="12">
        <v>10866912262</v>
      </c>
      <c r="G802" s="14" t="s">
        <v>4</v>
      </c>
      <c r="H802" s="14" t="s">
        <v>21</v>
      </c>
      <c r="I802" s="16" t="s">
        <v>100</v>
      </c>
      <c r="J802" s="14" t="str">
        <f t="shared" ca="1" si="48"/>
        <v>Yes</v>
      </c>
    </row>
    <row r="803" spans="1:10" x14ac:dyDescent="0.35">
      <c r="A803" s="12">
        <f t="shared" si="49"/>
        <v>9</v>
      </c>
      <c r="B803" s="12" t="str">
        <f t="shared" si="50"/>
        <v>Feb2025</v>
      </c>
      <c r="C803" s="12" t="str">
        <f t="shared" si="51"/>
        <v>Friday</v>
      </c>
      <c r="D803" s="13">
        <v>45716</v>
      </c>
      <c r="E803" s="14">
        <v>11</v>
      </c>
      <c r="F803" s="12">
        <v>10868098642</v>
      </c>
      <c r="G803" s="14" t="s">
        <v>4</v>
      </c>
      <c r="H803" s="14" t="s">
        <v>11</v>
      </c>
      <c r="I803" s="16" t="s">
        <v>92</v>
      </c>
      <c r="J803" s="14" t="str">
        <f t="shared" ca="1" si="48"/>
        <v>No</v>
      </c>
    </row>
    <row r="804" spans="1:10" x14ac:dyDescent="0.35">
      <c r="A804" s="12">
        <f t="shared" si="49"/>
        <v>9</v>
      </c>
      <c r="B804" s="12" t="str">
        <f t="shared" si="50"/>
        <v>Feb2025</v>
      </c>
      <c r="C804" s="12" t="str">
        <f t="shared" si="51"/>
        <v>Friday</v>
      </c>
      <c r="D804" s="13">
        <v>45716</v>
      </c>
      <c r="E804" s="14">
        <v>12</v>
      </c>
      <c r="F804" s="12">
        <v>10867567762</v>
      </c>
      <c r="G804" s="14" t="s">
        <v>4</v>
      </c>
      <c r="H804" s="14" t="s">
        <v>21</v>
      </c>
      <c r="I804" s="16" t="s">
        <v>31</v>
      </c>
      <c r="J804" s="14" t="str">
        <f t="shared" ca="1" si="48"/>
        <v>No</v>
      </c>
    </row>
    <row r="805" spans="1:10" x14ac:dyDescent="0.35">
      <c r="A805" s="12">
        <f t="shared" si="49"/>
        <v>9</v>
      </c>
      <c r="B805" s="12" t="str">
        <f t="shared" si="50"/>
        <v>Feb2025</v>
      </c>
      <c r="C805" s="12" t="str">
        <f t="shared" si="51"/>
        <v>Friday</v>
      </c>
      <c r="D805" s="13">
        <v>45716</v>
      </c>
      <c r="E805" s="14">
        <v>13</v>
      </c>
      <c r="F805" s="12">
        <v>10858881792</v>
      </c>
      <c r="G805" s="14" t="s">
        <v>4</v>
      </c>
      <c r="H805" s="14" t="s">
        <v>11</v>
      </c>
      <c r="I805" s="16" t="s">
        <v>92</v>
      </c>
      <c r="J805" s="14" t="str">
        <f t="shared" ca="1" si="48"/>
        <v>No</v>
      </c>
    </row>
    <row r="806" spans="1:10" x14ac:dyDescent="0.35">
      <c r="A806" s="12">
        <f t="shared" si="49"/>
        <v>9</v>
      </c>
      <c r="B806" s="12" t="str">
        <f t="shared" si="50"/>
        <v>Feb2025</v>
      </c>
      <c r="C806" s="12" t="str">
        <f t="shared" si="51"/>
        <v>Friday</v>
      </c>
      <c r="D806" s="13">
        <v>45716</v>
      </c>
      <c r="E806" s="14">
        <v>14</v>
      </c>
      <c r="F806" s="12">
        <v>10869004272</v>
      </c>
      <c r="G806" s="14" t="s">
        <v>7</v>
      </c>
      <c r="H806" s="14" t="s">
        <v>11</v>
      </c>
      <c r="I806" s="16" t="s">
        <v>218</v>
      </c>
      <c r="J806" s="14" t="str">
        <f t="shared" ca="1" si="48"/>
        <v>No</v>
      </c>
    </row>
    <row r="807" spans="1:10" x14ac:dyDescent="0.35">
      <c r="A807" s="12">
        <f t="shared" si="49"/>
        <v>9</v>
      </c>
      <c r="B807" s="12" t="str">
        <f t="shared" si="50"/>
        <v>Feb2025</v>
      </c>
      <c r="C807" s="12" t="str">
        <f t="shared" si="51"/>
        <v>Friday</v>
      </c>
      <c r="D807" s="13">
        <v>45716</v>
      </c>
      <c r="E807" s="14">
        <v>15</v>
      </c>
      <c r="F807" s="12">
        <v>10840165842</v>
      </c>
      <c r="G807" s="14" t="s">
        <v>3</v>
      </c>
      <c r="H807" s="14" t="s">
        <v>11</v>
      </c>
      <c r="I807" s="16" t="s">
        <v>212</v>
      </c>
      <c r="J807" s="14" t="str">
        <f t="shared" ca="1" si="48"/>
        <v>No</v>
      </c>
    </row>
    <row r="808" spans="1:10" x14ac:dyDescent="0.35">
      <c r="A808" s="12">
        <f t="shared" si="49"/>
        <v>9</v>
      </c>
      <c r="B808" s="12" t="str">
        <f t="shared" si="50"/>
        <v>Feb2025</v>
      </c>
      <c r="C808" s="12" t="str">
        <f t="shared" si="51"/>
        <v>Friday</v>
      </c>
      <c r="D808" s="13">
        <v>45716</v>
      </c>
      <c r="E808" s="14">
        <v>16</v>
      </c>
      <c r="F808" s="12">
        <v>10869167462</v>
      </c>
      <c r="G808" s="14" t="s">
        <v>4</v>
      </c>
      <c r="H808" s="14" t="s">
        <v>11</v>
      </c>
      <c r="I808" s="16" t="s">
        <v>152</v>
      </c>
      <c r="J808" s="14" t="str">
        <f t="shared" ca="1" si="48"/>
        <v>Yes</v>
      </c>
    </row>
    <row r="809" spans="1:10" x14ac:dyDescent="0.35">
      <c r="A809" s="12">
        <f t="shared" si="49"/>
        <v>9</v>
      </c>
      <c r="B809" s="12" t="str">
        <f t="shared" si="50"/>
        <v>Feb2025</v>
      </c>
      <c r="C809" s="12" t="str">
        <f t="shared" si="51"/>
        <v>Friday</v>
      </c>
      <c r="D809" s="13">
        <v>45716</v>
      </c>
      <c r="E809" s="14">
        <v>17</v>
      </c>
      <c r="F809" s="12">
        <v>10866680732</v>
      </c>
      <c r="G809" s="14" t="s">
        <v>4</v>
      </c>
      <c r="H809" s="14" t="s">
        <v>11</v>
      </c>
      <c r="I809" s="16" t="s">
        <v>39</v>
      </c>
      <c r="J809" s="14" t="str">
        <f t="shared" ca="1" si="48"/>
        <v>No</v>
      </c>
    </row>
    <row r="810" spans="1:10" x14ac:dyDescent="0.35">
      <c r="A810" s="12">
        <f t="shared" si="49"/>
        <v>9</v>
      </c>
      <c r="B810" s="12" t="str">
        <f t="shared" si="50"/>
        <v>Feb2025</v>
      </c>
      <c r="C810" s="12" t="str">
        <f t="shared" si="51"/>
        <v>Friday</v>
      </c>
      <c r="D810" s="13">
        <v>45716</v>
      </c>
      <c r="E810" s="14">
        <v>18</v>
      </c>
      <c r="F810" s="12">
        <v>10868946882</v>
      </c>
      <c r="G810" s="14" t="s">
        <v>5</v>
      </c>
      <c r="H810" s="14" t="s">
        <v>21</v>
      </c>
      <c r="I810" s="16" t="s">
        <v>51</v>
      </c>
      <c r="J810" s="14" t="str">
        <f t="shared" ca="1" si="48"/>
        <v>No</v>
      </c>
    </row>
    <row r="811" spans="1:10" x14ac:dyDescent="0.35">
      <c r="A811" s="12">
        <f t="shared" si="49"/>
        <v>9</v>
      </c>
      <c r="B811" s="12" t="str">
        <f t="shared" si="50"/>
        <v>Feb2025</v>
      </c>
      <c r="C811" s="12" t="str">
        <f t="shared" si="51"/>
        <v>Friday</v>
      </c>
      <c r="D811" s="13">
        <v>45716</v>
      </c>
      <c r="E811" s="14">
        <v>19</v>
      </c>
      <c r="F811" s="12">
        <v>10869382972</v>
      </c>
      <c r="G811" s="14" t="s">
        <v>4</v>
      </c>
      <c r="H811" s="14" t="s">
        <v>11</v>
      </c>
      <c r="I811" s="16" t="s">
        <v>122</v>
      </c>
      <c r="J811" s="14" t="str">
        <f t="shared" ca="1" si="48"/>
        <v>No</v>
      </c>
    </row>
    <row r="812" spans="1:10" x14ac:dyDescent="0.35">
      <c r="A812" s="12">
        <f t="shared" si="49"/>
        <v>9</v>
      </c>
      <c r="B812" s="12" t="str">
        <f t="shared" si="50"/>
        <v>Feb2025</v>
      </c>
      <c r="C812" s="12" t="str">
        <f t="shared" si="51"/>
        <v>Friday</v>
      </c>
      <c r="D812" s="13">
        <v>45716</v>
      </c>
      <c r="E812" s="14">
        <v>20</v>
      </c>
      <c r="F812" s="12">
        <v>10829010452</v>
      </c>
      <c r="G812" s="14" t="s">
        <v>4</v>
      </c>
      <c r="H812" s="14" t="s">
        <v>21</v>
      </c>
      <c r="I812" s="16" t="s">
        <v>33</v>
      </c>
      <c r="J812" s="14" t="str">
        <f t="shared" ca="1" si="48"/>
        <v>Yes</v>
      </c>
    </row>
    <row r="813" spans="1:10" x14ac:dyDescent="0.35">
      <c r="A813" s="12">
        <f t="shared" si="49"/>
        <v>9</v>
      </c>
      <c r="B813" s="12" t="str">
        <f t="shared" si="50"/>
        <v>Feb2025</v>
      </c>
      <c r="C813" s="12" t="str">
        <f t="shared" si="51"/>
        <v>Friday</v>
      </c>
      <c r="D813" s="13">
        <v>45716</v>
      </c>
      <c r="E813" s="14">
        <v>1</v>
      </c>
      <c r="F813" s="12">
        <v>10827497172</v>
      </c>
      <c r="G813" s="14" t="s">
        <v>3</v>
      </c>
      <c r="H813" s="14" t="s">
        <v>11</v>
      </c>
      <c r="I813" s="16" t="s">
        <v>64</v>
      </c>
      <c r="J813" s="14" t="str">
        <f t="shared" ca="1" si="48"/>
        <v>Yes</v>
      </c>
    </row>
    <row r="814" spans="1:10" x14ac:dyDescent="0.35">
      <c r="A814" s="12">
        <f t="shared" si="49"/>
        <v>9</v>
      </c>
      <c r="B814" s="12" t="str">
        <f t="shared" si="50"/>
        <v>Feb2025</v>
      </c>
      <c r="C814" s="12" t="str">
        <f t="shared" si="51"/>
        <v>Friday</v>
      </c>
      <c r="D814" s="13">
        <v>45716</v>
      </c>
      <c r="E814" s="14">
        <v>2</v>
      </c>
      <c r="F814" s="12">
        <v>10841357082</v>
      </c>
      <c r="G814" s="14" t="s">
        <v>5</v>
      </c>
      <c r="H814" s="14" t="s">
        <v>11</v>
      </c>
      <c r="I814" s="16" t="s">
        <v>219</v>
      </c>
      <c r="J814" s="14" t="str">
        <f t="shared" ca="1" si="48"/>
        <v>No</v>
      </c>
    </row>
    <row r="815" spans="1:10" x14ac:dyDescent="0.35">
      <c r="A815" s="12">
        <f t="shared" si="49"/>
        <v>9</v>
      </c>
      <c r="B815" s="12" t="str">
        <f t="shared" si="50"/>
        <v>Feb2025</v>
      </c>
      <c r="C815" s="12" t="str">
        <f t="shared" si="51"/>
        <v>Friday</v>
      </c>
      <c r="D815" s="13">
        <v>45716</v>
      </c>
      <c r="E815" s="14">
        <v>3</v>
      </c>
      <c r="F815" s="12">
        <v>9998565992</v>
      </c>
      <c r="G815" s="14" t="s">
        <v>4</v>
      </c>
      <c r="H815" s="14" t="s">
        <v>61</v>
      </c>
      <c r="I815" s="16" t="s">
        <v>191</v>
      </c>
      <c r="J815" s="14" t="str">
        <f t="shared" ca="1" si="48"/>
        <v>Yes</v>
      </c>
    </row>
    <row r="816" spans="1:10" x14ac:dyDescent="0.35">
      <c r="A816" s="12">
        <f t="shared" si="49"/>
        <v>9</v>
      </c>
      <c r="B816" s="12" t="str">
        <f t="shared" si="50"/>
        <v>Feb2025</v>
      </c>
      <c r="C816" s="12" t="str">
        <f t="shared" si="51"/>
        <v>Friday</v>
      </c>
      <c r="D816" s="13">
        <v>45716</v>
      </c>
      <c r="E816" s="14">
        <v>4</v>
      </c>
      <c r="F816" s="12">
        <v>10870104452</v>
      </c>
      <c r="G816" s="14" t="s">
        <v>4</v>
      </c>
      <c r="H816" s="14" t="s">
        <v>11</v>
      </c>
      <c r="I816" s="16" t="s">
        <v>100</v>
      </c>
      <c r="J816" s="14" t="str">
        <f t="shared" ca="1" si="48"/>
        <v>No</v>
      </c>
    </row>
    <row r="817" spans="1:10" x14ac:dyDescent="0.35">
      <c r="A817" s="12">
        <f t="shared" si="49"/>
        <v>9</v>
      </c>
      <c r="B817" s="12" t="str">
        <f t="shared" si="50"/>
        <v>Feb2025</v>
      </c>
      <c r="C817" s="12" t="str">
        <f t="shared" si="51"/>
        <v>Friday</v>
      </c>
      <c r="D817" s="13">
        <v>45716</v>
      </c>
      <c r="E817" s="14">
        <v>5</v>
      </c>
      <c r="F817" s="12">
        <v>10783345302</v>
      </c>
      <c r="G817" s="14" t="s">
        <v>3</v>
      </c>
      <c r="H817" s="14" t="s">
        <v>11</v>
      </c>
      <c r="I817" s="16" t="s">
        <v>16</v>
      </c>
      <c r="J817" s="14" t="str">
        <f t="shared" ca="1" si="48"/>
        <v>No</v>
      </c>
    </row>
    <row r="818" spans="1:10" x14ac:dyDescent="0.35">
      <c r="A818" s="12">
        <f t="shared" si="49"/>
        <v>9</v>
      </c>
      <c r="B818" s="12" t="str">
        <f t="shared" si="50"/>
        <v>Feb2025</v>
      </c>
      <c r="C818" s="12" t="str">
        <f t="shared" si="51"/>
        <v>Friday</v>
      </c>
      <c r="D818" s="13">
        <v>45716</v>
      </c>
      <c r="E818" s="14">
        <v>6</v>
      </c>
      <c r="F818" s="12">
        <v>10846593522</v>
      </c>
      <c r="G818" s="14" t="s">
        <v>3</v>
      </c>
      <c r="H818" s="14" t="s">
        <v>61</v>
      </c>
      <c r="I818" s="16" t="s">
        <v>16</v>
      </c>
      <c r="J818" s="14" t="str">
        <f t="shared" ca="1" si="48"/>
        <v>No</v>
      </c>
    </row>
    <row r="819" spans="1:10" x14ac:dyDescent="0.35">
      <c r="A819" s="12">
        <f t="shared" si="49"/>
        <v>9</v>
      </c>
      <c r="B819" s="12" t="str">
        <f t="shared" si="50"/>
        <v>Feb2025</v>
      </c>
      <c r="C819" s="12" t="str">
        <f t="shared" si="51"/>
        <v>Friday</v>
      </c>
      <c r="D819" s="13">
        <v>45716</v>
      </c>
      <c r="E819" s="14">
        <v>7</v>
      </c>
      <c r="F819" s="12">
        <v>10870008432</v>
      </c>
      <c r="G819" s="14" t="s">
        <v>4</v>
      </c>
      <c r="H819" s="14" t="s">
        <v>11</v>
      </c>
      <c r="I819" s="16" t="s">
        <v>74</v>
      </c>
      <c r="J819" s="14" t="str">
        <f t="shared" ca="1" si="48"/>
        <v>Yes</v>
      </c>
    </row>
    <row r="820" spans="1:10" x14ac:dyDescent="0.35">
      <c r="A820" s="12">
        <f t="shared" si="49"/>
        <v>9</v>
      </c>
      <c r="B820" s="12" t="str">
        <f t="shared" si="50"/>
        <v>Feb2025</v>
      </c>
      <c r="C820" s="12" t="str">
        <f t="shared" si="51"/>
        <v>Friday</v>
      </c>
      <c r="D820" s="13">
        <v>45716</v>
      </c>
      <c r="E820" s="14">
        <v>8</v>
      </c>
      <c r="F820" s="12">
        <v>10870158762</v>
      </c>
      <c r="G820" s="14" t="s">
        <v>4</v>
      </c>
      <c r="H820" s="14" t="s">
        <v>21</v>
      </c>
      <c r="I820" s="16" t="s">
        <v>24</v>
      </c>
      <c r="J820" s="14" t="str">
        <f t="shared" ca="1" si="48"/>
        <v>No</v>
      </c>
    </row>
    <row r="821" spans="1:10" x14ac:dyDescent="0.35">
      <c r="A821" s="12">
        <f t="shared" si="49"/>
        <v>9</v>
      </c>
      <c r="B821" s="12" t="str">
        <f t="shared" si="50"/>
        <v>Feb2025</v>
      </c>
      <c r="C821" s="12" t="str">
        <f t="shared" si="51"/>
        <v>Friday</v>
      </c>
      <c r="D821" s="13">
        <v>45716</v>
      </c>
      <c r="E821" s="14">
        <v>9</v>
      </c>
      <c r="F821" s="12">
        <v>10835354752</v>
      </c>
      <c r="G821" s="14" t="s">
        <v>3</v>
      </c>
      <c r="H821" s="14" t="s">
        <v>21</v>
      </c>
      <c r="I821" s="16" t="s">
        <v>16</v>
      </c>
      <c r="J821" s="14" t="str">
        <f t="shared" ca="1" si="48"/>
        <v>No</v>
      </c>
    </row>
    <row r="822" spans="1:10" x14ac:dyDescent="0.35">
      <c r="A822" s="12">
        <f t="shared" si="49"/>
        <v>9</v>
      </c>
      <c r="B822" s="12" t="str">
        <f t="shared" si="50"/>
        <v>Feb2025</v>
      </c>
      <c r="C822" s="12" t="str">
        <f t="shared" si="51"/>
        <v>Friday</v>
      </c>
      <c r="D822" s="13">
        <v>45716</v>
      </c>
      <c r="E822" s="14">
        <v>10</v>
      </c>
      <c r="F822" s="12">
        <v>10595796002</v>
      </c>
      <c r="G822" s="14" t="s">
        <v>3</v>
      </c>
      <c r="H822" s="14" t="s">
        <v>11</v>
      </c>
      <c r="I822" s="16" t="s">
        <v>16</v>
      </c>
      <c r="J822" s="14" t="str">
        <f t="shared" ca="1" si="48"/>
        <v>No</v>
      </c>
    </row>
    <row r="823" spans="1:10" x14ac:dyDescent="0.35">
      <c r="A823" s="12">
        <f t="shared" si="49"/>
        <v>9</v>
      </c>
      <c r="B823" s="12" t="str">
        <f t="shared" si="50"/>
        <v>Feb2025</v>
      </c>
      <c r="C823" s="12" t="str">
        <f t="shared" si="51"/>
        <v>Friday</v>
      </c>
      <c r="D823" s="13">
        <v>45716</v>
      </c>
      <c r="E823" s="14">
        <v>11</v>
      </c>
      <c r="F823" s="12">
        <v>10870232612</v>
      </c>
      <c r="G823" s="14" t="s">
        <v>7</v>
      </c>
      <c r="H823" s="14" t="s">
        <v>11</v>
      </c>
      <c r="I823" s="16" t="s">
        <v>220</v>
      </c>
      <c r="J823" s="14" t="str">
        <f t="shared" ca="1" si="48"/>
        <v>No</v>
      </c>
    </row>
    <row r="824" spans="1:10" x14ac:dyDescent="0.35">
      <c r="A824" s="12">
        <f t="shared" si="49"/>
        <v>9</v>
      </c>
      <c r="B824" s="12" t="str">
        <f t="shared" si="50"/>
        <v>Feb2025</v>
      </c>
      <c r="C824" s="12" t="str">
        <f t="shared" si="51"/>
        <v>Friday</v>
      </c>
      <c r="D824" s="13">
        <v>45716</v>
      </c>
      <c r="E824" s="14">
        <v>12</v>
      </c>
      <c r="F824" s="12">
        <v>10858233172</v>
      </c>
      <c r="G824" s="14" t="s">
        <v>4</v>
      </c>
      <c r="H824" s="14" t="s">
        <v>21</v>
      </c>
      <c r="I824" s="16" t="s">
        <v>24</v>
      </c>
      <c r="J824" s="14" t="str">
        <f t="shared" ca="1" si="48"/>
        <v>Yes</v>
      </c>
    </row>
    <row r="825" spans="1:10" x14ac:dyDescent="0.35">
      <c r="A825" s="12">
        <f t="shared" si="49"/>
        <v>25</v>
      </c>
      <c r="B825" s="12" t="str">
        <f t="shared" si="50"/>
        <v>Jun2025</v>
      </c>
      <c r="C825" s="12" t="str">
        <f t="shared" si="51"/>
        <v>Sunday</v>
      </c>
      <c r="D825" s="13">
        <v>45823</v>
      </c>
      <c r="E825" s="14">
        <v>1</v>
      </c>
      <c r="F825" s="12">
        <v>11210060192</v>
      </c>
      <c r="G825" s="14" t="s">
        <v>4</v>
      </c>
      <c r="H825" s="14" t="s">
        <v>11</v>
      </c>
      <c r="I825" s="16" t="s">
        <v>19</v>
      </c>
      <c r="J825" s="14" t="str">
        <f t="shared" ca="1" si="48"/>
        <v>No</v>
      </c>
    </row>
    <row r="826" spans="1:10" x14ac:dyDescent="0.35">
      <c r="A826" s="12">
        <f t="shared" si="49"/>
        <v>25</v>
      </c>
      <c r="B826" s="12" t="str">
        <f t="shared" si="50"/>
        <v>Jun2025</v>
      </c>
      <c r="C826" s="12" t="str">
        <f t="shared" si="51"/>
        <v>Sunday</v>
      </c>
      <c r="D826" s="13">
        <v>45823</v>
      </c>
      <c r="E826" s="14">
        <v>2</v>
      </c>
      <c r="F826" s="12">
        <v>11198326272</v>
      </c>
      <c r="G826" s="14" t="s">
        <v>4</v>
      </c>
      <c r="H826" s="14" t="s">
        <v>21</v>
      </c>
      <c r="I826" s="16" t="s">
        <v>48</v>
      </c>
      <c r="J826" s="14" t="str">
        <f t="shared" ca="1" si="48"/>
        <v>No</v>
      </c>
    </row>
    <row r="827" spans="1:10" x14ac:dyDescent="0.35">
      <c r="A827" s="12">
        <f t="shared" si="49"/>
        <v>25</v>
      </c>
      <c r="B827" s="12" t="str">
        <f t="shared" si="50"/>
        <v>Jun2025</v>
      </c>
      <c r="C827" s="12" t="str">
        <f t="shared" si="51"/>
        <v>Sunday</v>
      </c>
      <c r="D827" s="13">
        <v>45823</v>
      </c>
      <c r="E827" s="14">
        <v>3</v>
      </c>
      <c r="F827" s="12">
        <v>11024469932</v>
      </c>
      <c r="G827" s="14" t="s">
        <v>3</v>
      </c>
      <c r="H827" s="14" t="s">
        <v>11</v>
      </c>
      <c r="I827" s="16" t="s">
        <v>16</v>
      </c>
      <c r="J827" s="14" t="str">
        <f t="shared" ca="1" si="48"/>
        <v>Yes</v>
      </c>
    </row>
    <row r="828" spans="1:10" x14ac:dyDescent="0.35">
      <c r="A828" s="12">
        <f t="shared" si="49"/>
        <v>25</v>
      </c>
      <c r="B828" s="12" t="str">
        <f t="shared" si="50"/>
        <v>Jun2025</v>
      </c>
      <c r="C828" s="12" t="str">
        <f t="shared" si="51"/>
        <v>Sunday</v>
      </c>
      <c r="D828" s="13">
        <v>45823</v>
      </c>
      <c r="E828" s="14">
        <v>4</v>
      </c>
      <c r="F828" s="12">
        <v>11210285032</v>
      </c>
      <c r="G828" s="14" t="s">
        <v>4</v>
      </c>
      <c r="H828" s="14" t="s">
        <v>11</v>
      </c>
      <c r="I828" s="16" t="s">
        <v>38</v>
      </c>
      <c r="J828" s="14" t="str">
        <f t="shared" ca="1" si="48"/>
        <v>No</v>
      </c>
    </row>
    <row r="829" spans="1:10" x14ac:dyDescent="0.35">
      <c r="A829" s="12">
        <f t="shared" si="49"/>
        <v>25</v>
      </c>
      <c r="B829" s="12" t="str">
        <f t="shared" si="50"/>
        <v>Jun2025</v>
      </c>
      <c r="C829" s="12" t="str">
        <f t="shared" si="51"/>
        <v>Sunday</v>
      </c>
      <c r="D829" s="13">
        <v>45823</v>
      </c>
      <c r="E829" s="14">
        <v>5</v>
      </c>
      <c r="F829" s="12">
        <v>11209876402</v>
      </c>
      <c r="G829" s="14" t="s">
        <v>4</v>
      </c>
      <c r="H829" s="14" t="s">
        <v>21</v>
      </c>
      <c r="I829" s="16" t="s">
        <v>33</v>
      </c>
      <c r="J829" s="14" t="str">
        <f t="shared" ca="1" si="48"/>
        <v>No</v>
      </c>
    </row>
    <row r="830" spans="1:10" x14ac:dyDescent="0.35">
      <c r="A830" s="12">
        <f t="shared" si="49"/>
        <v>25</v>
      </c>
      <c r="B830" s="12" t="str">
        <f t="shared" si="50"/>
        <v>Jun2025</v>
      </c>
      <c r="C830" s="12" t="str">
        <f t="shared" si="51"/>
        <v>Sunday</v>
      </c>
      <c r="D830" s="13">
        <v>45823</v>
      </c>
      <c r="E830" s="14">
        <v>6</v>
      </c>
      <c r="F830" s="12">
        <v>11210481012</v>
      </c>
      <c r="G830" s="14" t="s">
        <v>7</v>
      </c>
      <c r="H830" s="14" t="s">
        <v>61</v>
      </c>
      <c r="I830" s="16" t="s">
        <v>123</v>
      </c>
      <c r="J830" s="14" t="str">
        <f t="shared" ca="1" si="48"/>
        <v>No</v>
      </c>
    </row>
    <row r="831" spans="1:10" x14ac:dyDescent="0.35">
      <c r="A831" s="12">
        <f t="shared" si="49"/>
        <v>25</v>
      </c>
      <c r="B831" s="12" t="str">
        <f t="shared" si="50"/>
        <v>Jun2025</v>
      </c>
      <c r="C831" s="12" t="str">
        <f t="shared" si="51"/>
        <v>Sunday</v>
      </c>
      <c r="D831" s="13">
        <v>45823</v>
      </c>
      <c r="E831" s="14">
        <v>7</v>
      </c>
      <c r="F831" s="12">
        <v>11209876402</v>
      </c>
      <c r="G831" s="14" t="s">
        <v>4</v>
      </c>
      <c r="H831" s="14" t="s">
        <v>21</v>
      </c>
      <c r="I831" s="16" t="s">
        <v>33</v>
      </c>
      <c r="J831" s="14" t="str">
        <f t="shared" ca="1" si="48"/>
        <v>Yes</v>
      </c>
    </row>
    <row r="832" spans="1:10" x14ac:dyDescent="0.35">
      <c r="A832" s="12">
        <f t="shared" si="49"/>
        <v>25</v>
      </c>
      <c r="B832" s="12" t="str">
        <f t="shared" si="50"/>
        <v>Jun2025</v>
      </c>
      <c r="C832" s="12" t="str">
        <f t="shared" si="51"/>
        <v>Sunday</v>
      </c>
      <c r="D832" s="13">
        <v>45823</v>
      </c>
      <c r="E832" s="14">
        <v>8</v>
      </c>
      <c r="F832" s="12">
        <v>11209876402</v>
      </c>
      <c r="G832" s="14" t="s">
        <v>4</v>
      </c>
      <c r="H832" s="14" t="s">
        <v>21</v>
      </c>
      <c r="I832" s="16" t="s">
        <v>33</v>
      </c>
      <c r="J832" s="14" t="str">
        <f t="shared" ca="1" si="48"/>
        <v>No</v>
      </c>
    </row>
    <row r="833" spans="1:10" x14ac:dyDescent="0.35">
      <c r="A833" s="12">
        <f t="shared" si="49"/>
        <v>25</v>
      </c>
      <c r="B833" s="12" t="str">
        <f t="shared" si="50"/>
        <v>Jun2025</v>
      </c>
      <c r="C833" s="12" t="str">
        <f t="shared" si="51"/>
        <v>Sunday</v>
      </c>
      <c r="D833" s="13">
        <v>45823</v>
      </c>
      <c r="E833" s="14">
        <v>9</v>
      </c>
      <c r="F833" s="12">
        <v>11209876402</v>
      </c>
      <c r="G833" s="14" t="s">
        <v>4</v>
      </c>
      <c r="H833" s="14" t="s">
        <v>21</v>
      </c>
      <c r="I833" s="16" t="s">
        <v>33</v>
      </c>
      <c r="J833" s="14" t="str">
        <f t="shared" ca="1" si="48"/>
        <v>No</v>
      </c>
    </row>
    <row r="834" spans="1:10" x14ac:dyDescent="0.35">
      <c r="A834" s="12">
        <f t="shared" si="49"/>
        <v>25</v>
      </c>
      <c r="B834" s="12" t="str">
        <f t="shared" si="50"/>
        <v>Jun2025</v>
      </c>
      <c r="C834" s="12" t="str">
        <f t="shared" si="51"/>
        <v>Sunday</v>
      </c>
      <c r="D834" s="13">
        <v>45823</v>
      </c>
      <c r="E834" s="14">
        <v>10</v>
      </c>
      <c r="F834" s="12">
        <v>11106228762</v>
      </c>
      <c r="G834" s="14" t="s">
        <v>3</v>
      </c>
      <c r="H834" s="14" t="s">
        <v>11</v>
      </c>
      <c r="I834" s="16" t="s">
        <v>32</v>
      </c>
      <c r="J834" s="14" t="str">
        <f t="shared" ref="J834:J897" ca="1" si="52">IF(RAND()&lt;0.2,"Yes","No")</f>
        <v>Yes</v>
      </c>
    </row>
    <row r="835" spans="1:10" x14ac:dyDescent="0.35">
      <c r="A835" s="12">
        <f t="shared" ref="A835:A898" si="53">WEEKNUM(D835)</f>
        <v>25</v>
      </c>
      <c r="B835" s="12" t="str">
        <f t="shared" ref="B835:B898" si="54">TEXT(D835,"MMMYYYY")</f>
        <v>Jun2025</v>
      </c>
      <c r="C835" s="12" t="str">
        <f t="shared" ref="C835:C898" si="55">TEXT(D835,"dddd")</f>
        <v>Sunday</v>
      </c>
      <c r="D835" s="13">
        <v>45823</v>
      </c>
      <c r="E835" s="14">
        <v>11</v>
      </c>
      <c r="F835" s="12">
        <v>11210961972</v>
      </c>
      <c r="G835" s="14" t="s">
        <v>3</v>
      </c>
      <c r="H835" s="14" t="s">
        <v>11</v>
      </c>
      <c r="I835" s="16" t="s">
        <v>85</v>
      </c>
      <c r="J835" s="14" t="str">
        <f t="shared" ca="1" si="52"/>
        <v>No</v>
      </c>
    </row>
    <row r="836" spans="1:10" x14ac:dyDescent="0.35">
      <c r="A836" s="12">
        <f t="shared" si="53"/>
        <v>25</v>
      </c>
      <c r="B836" s="12" t="str">
        <f t="shared" si="54"/>
        <v>Jun2025</v>
      </c>
      <c r="C836" s="12" t="str">
        <f t="shared" si="55"/>
        <v>Sunday</v>
      </c>
      <c r="D836" s="13">
        <v>45823</v>
      </c>
      <c r="E836" s="14">
        <v>12</v>
      </c>
      <c r="F836" s="12">
        <v>11195195272</v>
      </c>
      <c r="G836" s="14" t="s">
        <v>3</v>
      </c>
      <c r="H836" s="14" t="s">
        <v>21</v>
      </c>
      <c r="I836" s="16" t="s">
        <v>62</v>
      </c>
      <c r="J836" s="14" t="str">
        <f t="shared" ca="1" si="52"/>
        <v>Yes</v>
      </c>
    </row>
    <row r="837" spans="1:10" x14ac:dyDescent="0.35">
      <c r="A837" s="12">
        <f t="shared" si="53"/>
        <v>25</v>
      </c>
      <c r="B837" s="12" t="str">
        <f t="shared" si="54"/>
        <v>Jun2025</v>
      </c>
      <c r="C837" s="12" t="str">
        <f t="shared" si="55"/>
        <v>Sunday</v>
      </c>
      <c r="D837" s="13">
        <v>45823</v>
      </c>
      <c r="E837" s="14">
        <v>13</v>
      </c>
      <c r="F837" s="12">
        <v>11211014002</v>
      </c>
      <c r="G837" s="14" t="s">
        <v>4</v>
      </c>
      <c r="H837" s="14" t="s">
        <v>11</v>
      </c>
      <c r="I837" s="16" t="s">
        <v>189</v>
      </c>
      <c r="J837" s="14" t="str">
        <f t="shared" ca="1" si="52"/>
        <v>No</v>
      </c>
    </row>
    <row r="838" spans="1:10" x14ac:dyDescent="0.35">
      <c r="A838" s="12">
        <f t="shared" si="53"/>
        <v>25</v>
      </c>
      <c r="B838" s="12" t="str">
        <f t="shared" si="54"/>
        <v>Jun2025</v>
      </c>
      <c r="C838" s="12" t="str">
        <f t="shared" si="55"/>
        <v>Sunday</v>
      </c>
      <c r="D838" s="13">
        <v>45823</v>
      </c>
      <c r="E838" s="14">
        <v>14</v>
      </c>
      <c r="F838" s="12">
        <v>11210532542</v>
      </c>
      <c r="G838" s="14" t="s">
        <v>4</v>
      </c>
      <c r="H838" s="14" t="s">
        <v>11</v>
      </c>
      <c r="I838" s="16" t="s">
        <v>112</v>
      </c>
      <c r="J838" s="14" t="str">
        <f t="shared" ca="1" si="52"/>
        <v>No</v>
      </c>
    </row>
    <row r="839" spans="1:10" x14ac:dyDescent="0.35">
      <c r="A839" s="12">
        <f t="shared" si="53"/>
        <v>25</v>
      </c>
      <c r="B839" s="12" t="str">
        <f t="shared" si="54"/>
        <v>Jun2025</v>
      </c>
      <c r="C839" s="12" t="str">
        <f t="shared" si="55"/>
        <v>Sunday</v>
      </c>
      <c r="D839" s="13">
        <v>45823</v>
      </c>
      <c r="E839" s="14">
        <v>15</v>
      </c>
      <c r="F839" s="12">
        <v>11211135702</v>
      </c>
      <c r="G839" s="14" t="s">
        <v>4</v>
      </c>
      <c r="H839" s="14" t="s">
        <v>21</v>
      </c>
      <c r="I839" s="16" t="s">
        <v>33</v>
      </c>
      <c r="J839" s="14" t="str">
        <f t="shared" ca="1" si="52"/>
        <v>No</v>
      </c>
    </row>
    <row r="840" spans="1:10" x14ac:dyDescent="0.35">
      <c r="A840" s="12">
        <f t="shared" si="53"/>
        <v>25</v>
      </c>
      <c r="B840" s="12" t="str">
        <f t="shared" si="54"/>
        <v>Jun2025</v>
      </c>
      <c r="C840" s="12" t="str">
        <f t="shared" si="55"/>
        <v>Monday</v>
      </c>
      <c r="D840" s="13">
        <v>45824</v>
      </c>
      <c r="E840" s="14">
        <v>1</v>
      </c>
      <c r="F840" s="12">
        <v>11212370692</v>
      </c>
      <c r="G840" s="14" t="s">
        <v>4</v>
      </c>
      <c r="H840" s="14" t="s">
        <v>11</v>
      </c>
      <c r="I840" s="16" t="s">
        <v>19</v>
      </c>
      <c r="J840" s="14" t="str">
        <f t="shared" ca="1" si="52"/>
        <v>Yes</v>
      </c>
    </row>
    <row r="841" spans="1:10" x14ac:dyDescent="0.35">
      <c r="A841" s="12">
        <f t="shared" si="53"/>
        <v>25</v>
      </c>
      <c r="B841" s="12" t="str">
        <f t="shared" si="54"/>
        <v>Jun2025</v>
      </c>
      <c r="C841" s="12" t="str">
        <f t="shared" si="55"/>
        <v>Monday</v>
      </c>
      <c r="D841" s="13">
        <v>45824</v>
      </c>
      <c r="E841" s="14">
        <v>2</v>
      </c>
      <c r="F841" s="12">
        <v>11195910312</v>
      </c>
      <c r="G841" s="14" t="s">
        <v>5</v>
      </c>
      <c r="H841" s="14" t="s">
        <v>11</v>
      </c>
      <c r="I841" s="16" t="s">
        <v>14</v>
      </c>
      <c r="J841" s="14" t="str">
        <f t="shared" ca="1" si="52"/>
        <v>Yes</v>
      </c>
    </row>
    <row r="842" spans="1:10" x14ac:dyDescent="0.35">
      <c r="A842" s="12">
        <f t="shared" si="53"/>
        <v>25</v>
      </c>
      <c r="B842" s="12" t="str">
        <f t="shared" si="54"/>
        <v>Jun2025</v>
      </c>
      <c r="C842" s="12" t="str">
        <f t="shared" si="55"/>
        <v>Monday</v>
      </c>
      <c r="D842" s="13">
        <v>45824</v>
      </c>
      <c r="E842" s="14">
        <v>3</v>
      </c>
      <c r="F842" s="12">
        <v>11212047982</v>
      </c>
      <c r="G842" s="14" t="s">
        <v>4</v>
      </c>
      <c r="H842" s="14" t="s">
        <v>61</v>
      </c>
      <c r="I842" s="16" t="s">
        <v>213</v>
      </c>
      <c r="J842" s="14" t="str">
        <f t="shared" ca="1" si="52"/>
        <v>No</v>
      </c>
    </row>
    <row r="843" spans="1:10" x14ac:dyDescent="0.35">
      <c r="A843" s="12">
        <f t="shared" si="53"/>
        <v>25</v>
      </c>
      <c r="B843" s="12" t="str">
        <f t="shared" si="54"/>
        <v>Jun2025</v>
      </c>
      <c r="C843" s="12" t="str">
        <f t="shared" si="55"/>
        <v>Monday</v>
      </c>
      <c r="D843" s="13">
        <v>45824</v>
      </c>
      <c r="E843" s="14">
        <v>4</v>
      </c>
      <c r="F843" s="12">
        <v>11212066562</v>
      </c>
      <c r="G843" s="14" t="s">
        <v>4</v>
      </c>
      <c r="H843" s="14" t="s">
        <v>11</v>
      </c>
      <c r="I843" s="16" t="s">
        <v>170</v>
      </c>
      <c r="J843" s="14" t="str">
        <f t="shared" ca="1" si="52"/>
        <v>No</v>
      </c>
    </row>
    <row r="844" spans="1:10" x14ac:dyDescent="0.35">
      <c r="A844" s="12">
        <f t="shared" si="53"/>
        <v>25</v>
      </c>
      <c r="B844" s="12" t="str">
        <f t="shared" si="54"/>
        <v>Jun2025</v>
      </c>
      <c r="C844" s="12" t="str">
        <f t="shared" si="55"/>
        <v>Monday</v>
      </c>
      <c r="D844" s="13">
        <v>45824</v>
      </c>
      <c r="E844" s="14">
        <v>5</v>
      </c>
      <c r="F844" s="12">
        <v>11212454362</v>
      </c>
      <c r="G844" s="14" t="s">
        <v>4</v>
      </c>
      <c r="H844" s="14" t="s">
        <v>11</v>
      </c>
      <c r="I844" s="16" t="s">
        <v>92</v>
      </c>
      <c r="J844" s="14" t="str">
        <f t="shared" ca="1" si="52"/>
        <v>No</v>
      </c>
    </row>
    <row r="845" spans="1:10" x14ac:dyDescent="0.35">
      <c r="A845" s="12">
        <f t="shared" si="53"/>
        <v>25</v>
      </c>
      <c r="B845" s="12" t="str">
        <f t="shared" si="54"/>
        <v>Jun2025</v>
      </c>
      <c r="C845" s="12" t="str">
        <f t="shared" si="55"/>
        <v>Monday</v>
      </c>
      <c r="D845" s="13">
        <v>45824</v>
      </c>
      <c r="E845" s="14">
        <v>6</v>
      </c>
      <c r="F845" s="12">
        <v>11212315052</v>
      </c>
      <c r="G845" s="14" t="s">
        <v>5</v>
      </c>
      <c r="H845" s="14" t="s">
        <v>11</v>
      </c>
      <c r="I845" s="16" t="s">
        <v>92</v>
      </c>
      <c r="J845" s="14" t="str">
        <f t="shared" ca="1" si="52"/>
        <v>Yes</v>
      </c>
    </row>
    <row r="846" spans="1:10" x14ac:dyDescent="0.35">
      <c r="A846" s="12">
        <f t="shared" si="53"/>
        <v>25</v>
      </c>
      <c r="B846" s="12" t="str">
        <f t="shared" si="54"/>
        <v>Jun2025</v>
      </c>
      <c r="C846" s="12" t="str">
        <f t="shared" si="55"/>
        <v>Monday</v>
      </c>
      <c r="D846" s="13">
        <v>45824</v>
      </c>
      <c r="E846" s="14">
        <v>7</v>
      </c>
      <c r="F846" s="12">
        <v>11212430372</v>
      </c>
      <c r="G846" s="14" t="s">
        <v>4</v>
      </c>
      <c r="H846" s="14" t="s">
        <v>61</v>
      </c>
      <c r="I846" s="16" t="s">
        <v>221</v>
      </c>
      <c r="J846" s="14" t="str">
        <f t="shared" ca="1" si="52"/>
        <v>No</v>
      </c>
    </row>
    <row r="847" spans="1:10" x14ac:dyDescent="0.35">
      <c r="A847" s="12">
        <f t="shared" si="53"/>
        <v>25</v>
      </c>
      <c r="B847" s="12" t="str">
        <f t="shared" si="54"/>
        <v>Jun2025</v>
      </c>
      <c r="C847" s="12" t="str">
        <f t="shared" si="55"/>
        <v>Monday</v>
      </c>
      <c r="D847" s="13">
        <v>45824</v>
      </c>
      <c r="E847" s="14">
        <v>8</v>
      </c>
      <c r="F847" s="12">
        <v>11212870552</v>
      </c>
      <c r="G847" s="14" t="s">
        <v>3</v>
      </c>
      <c r="H847" s="14" t="s">
        <v>11</v>
      </c>
      <c r="I847" s="16" t="s">
        <v>212</v>
      </c>
      <c r="J847" s="14" t="str">
        <f t="shared" ca="1" si="52"/>
        <v>Yes</v>
      </c>
    </row>
    <row r="848" spans="1:10" x14ac:dyDescent="0.35">
      <c r="A848" s="12">
        <f t="shared" si="53"/>
        <v>25</v>
      </c>
      <c r="B848" s="12" t="str">
        <f t="shared" si="54"/>
        <v>Jun2025</v>
      </c>
      <c r="C848" s="12" t="str">
        <f t="shared" si="55"/>
        <v>Monday</v>
      </c>
      <c r="D848" s="13">
        <v>45824</v>
      </c>
      <c r="E848" s="14">
        <v>9</v>
      </c>
      <c r="F848" s="12">
        <v>11203213612</v>
      </c>
      <c r="G848" s="14" t="s">
        <v>3</v>
      </c>
      <c r="H848" s="14" t="s">
        <v>11</v>
      </c>
      <c r="I848" s="16" t="s">
        <v>19</v>
      </c>
      <c r="J848" s="14" t="str">
        <f t="shared" ca="1" si="52"/>
        <v>No</v>
      </c>
    </row>
    <row r="849" spans="1:10" x14ac:dyDescent="0.35">
      <c r="A849" s="12">
        <f t="shared" si="53"/>
        <v>25</v>
      </c>
      <c r="B849" s="12" t="str">
        <f t="shared" si="54"/>
        <v>Jun2025</v>
      </c>
      <c r="C849" s="12" t="str">
        <f t="shared" si="55"/>
        <v>Monday</v>
      </c>
      <c r="D849" s="13">
        <v>45824</v>
      </c>
      <c r="E849" s="14">
        <v>10</v>
      </c>
      <c r="F849" s="12">
        <v>11212988152</v>
      </c>
      <c r="G849" s="14" t="s">
        <v>4</v>
      </c>
      <c r="H849" s="14" t="s">
        <v>61</v>
      </c>
      <c r="I849" s="16" t="s">
        <v>94</v>
      </c>
      <c r="J849" s="14" t="str">
        <f t="shared" ca="1" si="52"/>
        <v>No</v>
      </c>
    </row>
    <row r="850" spans="1:10" x14ac:dyDescent="0.35">
      <c r="A850" s="12">
        <f t="shared" si="53"/>
        <v>25</v>
      </c>
      <c r="B850" s="12" t="str">
        <f t="shared" si="54"/>
        <v>Jun2025</v>
      </c>
      <c r="C850" s="12" t="str">
        <f t="shared" si="55"/>
        <v>Monday</v>
      </c>
      <c r="D850" s="13">
        <v>45824</v>
      </c>
      <c r="E850" s="14">
        <v>11</v>
      </c>
      <c r="F850" s="12">
        <v>10841721542</v>
      </c>
      <c r="G850" s="14" t="s">
        <v>3</v>
      </c>
      <c r="H850" s="14" t="s">
        <v>11</v>
      </c>
      <c r="I850" s="16" t="s">
        <v>32</v>
      </c>
      <c r="J850" s="14" t="str">
        <f t="shared" ca="1" si="52"/>
        <v>No</v>
      </c>
    </row>
    <row r="851" spans="1:10" x14ac:dyDescent="0.35">
      <c r="A851" s="12">
        <f t="shared" si="53"/>
        <v>25</v>
      </c>
      <c r="B851" s="12" t="str">
        <f t="shared" si="54"/>
        <v>Jun2025</v>
      </c>
      <c r="C851" s="12" t="str">
        <f t="shared" si="55"/>
        <v>Monday</v>
      </c>
      <c r="D851" s="13">
        <v>45824</v>
      </c>
      <c r="E851" s="14">
        <v>12</v>
      </c>
      <c r="F851" s="12">
        <v>11212502302</v>
      </c>
      <c r="G851" s="14" t="s">
        <v>4</v>
      </c>
      <c r="H851" s="14" t="s">
        <v>21</v>
      </c>
      <c r="I851" s="16" t="s">
        <v>222</v>
      </c>
      <c r="J851" s="14" t="str">
        <f t="shared" ca="1" si="52"/>
        <v>Yes</v>
      </c>
    </row>
    <row r="852" spans="1:10" x14ac:dyDescent="0.35">
      <c r="A852" s="12">
        <f t="shared" si="53"/>
        <v>25</v>
      </c>
      <c r="B852" s="12" t="str">
        <f t="shared" si="54"/>
        <v>Jun2025</v>
      </c>
      <c r="C852" s="12" t="str">
        <f t="shared" si="55"/>
        <v>Monday</v>
      </c>
      <c r="D852" s="13">
        <v>45824</v>
      </c>
      <c r="E852" s="14">
        <v>13</v>
      </c>
      <c r="F852" s="12">
        <v>11213376542</v>
      </c>
      <c r="G852" s="14" t="s">
        <v>4</v>
      </c>
      <c r="H852" s="14" t="s">
        <v>11</v>
      </c>
      <c r="I852" s="16" t="s">
        <v>85</v>
      </c>
      <c r="J852" s="14" t="str">
        <f t="shared" ca="1" si="52"/>
        <v>No</v>
      </c>
    </row>
    <row r="853" spans="1:10" x14ac:dyDescent="0.35">
      <c r="A853" s="12">
        <f t="shared" si="53"/>
        <v>25</v>
      </c>
      <c r="B853" s="12" t="str">
        <f t="shared" si="54"/>
        <v>Jun2025</v>
      </c>
      <c r="C853" s="12" t="str">
        <f t="shared" si="55"/>
        <v>Monday</v>
      </c>
      <c r="D853" s="13">
        <v>45824</v>
      </c>
      <c r="E853" s="14">
        <v>14</v>
      </c>
      <c r="F853" s="12">
        <v>11145299512</v>
      </c>
      <c r="G853" s="14" t="s">
        <v>3</v>
      </c>
      <c r="H853" s="14" t="s">
        <v>11</v>
      </c>
      <c r="I853" s="16" t="s">
        <v>16</v>
      </c>
      <c r="J853" s="14" t="str">
        <f t="shared" ca="1" si="52"/>
        <v>No</v>
      </c>
    </row>
    <row r="854" spans="1:10" x14ac:dyDescent="0.35">
      <c r="A854" s="12">
        <f t="shared" si="53"/>
        <v>25</v>
      </c>
      <c r="B854" s="12" t="str">
        <f t="shared" si="54"/>
        <v>Jun2025</v>
      </c>
      <c r="C854" s="12" t="str">
        <f t="shared" si="55"/>
        <v>Monday</v>
      </c>
      <c r="D854" s="13">
        <v>45824</v>
      </c>
      <c r="E854" s="14">
        <v>15</v>
      </c>
      <c r="F854" s="12">
        <v>11213557752</v>
      </c>
      <c r="G854" s="14" t="s">
        <v>4</v>
      </c>
      <c r="H854" s="14" t="s">
        <v>21</v>
      </c>
      <c r="I854" s="16" t="s">
        <v>76</v>
      </c>
      <c r="J854" s="14" t="str">
        <f t="shared" ca="1" si="52"/>
        <v>No</v>
      </c>
    </row>
    <row r="855" spans="1:10" x14ac:dyDescent="0.35">
      <c r="A855" s="12">
        <f t="shared" si="53"/>
        <v>25</v>
      </c>
      <c r="B855" s="12" t="str">
        <f t="shared" si="54"/>
        <v>Jun2025</v>
      </c>
      <c r="C855" s="12" t="str">
        <f t="shared" si="55"/>
        <v>Monday</v>
      </c>
      <c r="D855" s="13">
        <v>45824</v>
      </c>
      <c r="E855" s="14">
        <v>16</v>
      </c>
      <c r="F855" s="12">
        <v>11213378392</v>
      </c>
      <c r="G855" s="14" t="s">
        <v>4</v>
      </c>
      <c r="H855" s="14" t="s">
        <v>61</v>
      </c>
      <c r="I855" s="16" t="s">
        <v>105</v>
      </c>
      <c r="J855" s="14" t="str">
        <f t="shared" ca="1" si="52"/>
        <v>No</v>
      </c>
    </row>
    <row r="856" spans="1:10" x14ac:dyDescent="0.35">
      <c r="A856" s="12">
        <f t="shared" si="53"/>
        <v>25</v>
      </c>
      <c r="B856" s="12" t="str">
        <f t="shared" si="54"/>
        <v>Jun2025</v>
      </c>
      <c r="C856" s="12" t="str">
        <f t="shared" si="55"/>
        <v>Monday</v>
      </c>
      <c r="D856" s="13">
        <v>45824</v>
      </c>
      <c r="E856" s="14">
        <v>17</v>
      </c>
      <c r="F856" s="12">
        <v>10841721542</v>
      </c>
      <c r="G856" s="14" t="s">
        <v>4</v>
      </c>
      <c r="H856" s="14" t="s">
        <v>11</v>
      </c>
      <c r="I856" s="16" t="s">
        <v>32</v>
      </c>
      <c r="J856" s="14" t="str">
        <f t="shared" ca="1" si="52"/>
        <v>No</v>
      </c>
    </row>
    <row r="857" spans="1:10" x14ac:dyDescent="0.35">
      <c r="A857" s="12">
        <f t="shared" si="53"/>
        <v>25</v>
      </c>
      <c r="B857" s="12" t="str">
        <f t="shared" si="54"/>
        <v>Jun2025</v>
      </c>
      <c r="C857" s="12" t="str">
        <f t="shared" si="55"/>
        <v>Monday</v>
      </c>
      <c r="D857" s="13">
        <v>45824</v>
      </c>
      <c r="E857" s="14">
        <v>18</v>
      </c>
      <c r="F857" s="12">
        <v>11213673182</v>
      </c>
      <c r="G857" s="14" t="s">
        <v>4</v>
      </c>
      <c r="H857" s="14" t="s">
        <v>21</v>
      </c>
      <c r="I857" s="16" t="s">
        <v>48</v>
      </c>
      <c r="J857" s="14" t="str">
        <f t="shared" ca="1" si="52"/>
        <v>No</v>
      </c>
    </row>
    <row r="858" spans="1:10" x14ac:dyDescent="0.35">
      <c r="A858" s="12">
        <f t="shared" si="53"/>
        <v>25</v>
      </c>
      <c r="B858" s="12" t="str">
        <f t="shared" si="54"/>
        <v>Jun2025</v>
      </c>
      <c r="C858" s="12" t="str">
        <f t="shared" si="55"/>
        <v>Monday</v>
      </c>
      <c r="D858" s="13">
        <v>45824</v>
      </c>
      <c r="E858" s="14">
        <v>19</v>
      </c>
      <c r="F858" s="12">
        <v>11214120592</v>
      </c>
      <c r="G858" s="14" t="s">
        <v>10</v>
      </c>
      <c r="H858" s="14" t="s">
        <v>11</v>
      </c>
      <c r="I858" s="16" t="s">
        <v>92</v>
      </c>
      <c r="J858" s="14" t="str">
        <f t="shared" ca="1" si="52"/>
        <v>No</v>
      </c>
    </row>
    <row r="859" spans="1:10" x14ac:dyDescent="0.35">
      <c r="A859" s="12">
        <f t="shared" si="53"/>
        <v>25</v>
      </c>
      <c r="B859" s="12" t="str">
        <f t="shared" si="54"/>
        <v>Jun2025</v>
      </c>
      <c r="C859" s="12" t="str">
        <f t="shared" si="55"/>
        <v>Monday</v>
      </c>
      <c r="D859" s="13">
        <v>45824</v>
      </c>
      <c r="E859" s="14">
        <v>20</v>
      </c>
      <c r="F859" s="12">
        <v>11213253512</v>
      </c>
      <c r="G859" s="14" t="s">
        <v>5</v>
      </c>
      <c r="H859" s="14" t="s">
        <v>21</v>
      </c>
      <c r="I859" s="16" t="s">
        <v>51</v>
      </c>
      <c r="J859" s="14" t="str">
        <f t="shared" ca="1" si="52"/>
        <v>No</v>
      </c>
    </row>
    <row r="860" spans="1:10" x14ac:dyDescent="0.35">
      <c r="A860" s="12">
        <f t="shared" si="53"/>
        <v>25</v>
      </c>
      <c r="B860" s="12" t="str">
        <f t="shared" si="54"/>
        <v>Jun2025</v>
      </c>
      <c r="C860" s="12" t="str">
        <f t="shared" si="55"/>
        <v>Monday</v>
      </c>
      <c r="D860" s="13">
        <v>45824</v>
      </c>
      <c r="E860" s="14">
        <v>21</v>
      </c>
      <c r="F860" s="12">
        <v>11213909012</v>
      </c>
      <c r="G860" s="14" t="s">
        <v>4</v>
      </c>
      <c r="H860" s="14" t="s">
        <v>11</v>
      </c>
      <c r="I860" s="16" t="s">
        <v>13</v>
      </c>
      <c r="J860" s="14" t="str">
        <f t="shared" ca="1" si="52"/>
        <v>No</v>
      </c>
    </row>
    <row r="861" spans="1:10" x14ac:dyDescent="0.35">
      <c r="A861" s="12">
        <f t="shared" si="53"/>
        <v>25</v>
      </c>
      <c r="B861" s="12" t="str">
        <f t="shared" si="54"/>
        <v>Jun2025</v>
      </c>
      <c r="C861" s="12" t="str">
        <f t="shared" si="55"/>
        <v>Monday</v>
      </c>
      <c r="D861" s="13">
        <v>45824</v>
      </c>
      <c r="E861" s="14">
        <v>22</v>
      </c>
      <c r="F861" s="12">
        <v>11213362332</v>
      </c>
      <c r="G861" s="14" t="s">
        <v>4</v>
      </c>
      <c r="H861" s="14" t="s">
        <v>21</v>
      </c>
      <c r="I861" s="16" t="s">
        <v>76</v>
      </c>
      <c r="J861" s="14" t="str">
        <f t="shared" ca="1" si="52"/>
        <v>No</v>
      </c>
    </row>
    <row r="862" spans="1:10" x14ac:dyDescent="0.35">
      <c r="A862" s="12">
        <f t="shared" si="53"/>
        <v>25</v>
      </c>
      <c r="B862" s="12" t="str">
        <f t="shared" si="54"/>
        <v>Jun2025</v>
      </c>
      <c r="C862" s="12" t="str">
        <f t="shared" si="55"/>
        <v>Monday</v>
      </c>
      <c r="D862" s="13">
        <v>45824</v>
      </c>
      <c r="E862" s="14">
        <v>23</v>
      </c>
      <c r="F862" s="12">
        <v>11214015222</v>
      </c>
      <c r="G862" s="14" t="s">
        <v>4</v>
      </c>
      <c r="H862" s="14" t="s">
        <v>11</v>
      </c>
      <c r="I862" s="16" t="s">
        <v>92</v>
      </c>
      <c r="J862" s="14" t="str">
        <f t="shared" ca="1" si="52"/>
        <v>No</v>
      </c>
    </row>
    <row r="863" spans="1:10" x14ac:dyDescent="0.35">
      <c r="A863" s="12">
        <f t="shared" si="53"/>
        <v>25</v>
      </c>
      <c r="B863" s="12" t="str">
        <f t="shared" si="54"/>
        <v>Jun2025</v>
      </c>
      <c r="C863" s="12" t="str">
        <f t="shared" si="55"/>
        <v>Monday</v>
      </c>
      <c r="D863" s="13">
        <v>45824</v>
      </c>
      <c r="E863" s="14">
        <v>24</v>
      </c>
      <c r="F863" s="12">
        <v>11214606062</v>
      </c>
      <c r="G863" s="14" t="s">
        <v>4</v>
      </c>
      <c r="H863" s="14" t="s">
        <v>11</v>
      </c>
      <c r="I863" s="16" t="s">
        <v>44</v>
      </c>
      <c r="J863" s="14" t="str">
        <f t="shared" ca="1" si="52"/>
        <v>No</v>
      </c>
    </row>
    <row r="864" spans="1:10" x14ac:dyDescent="0.35">
      <c r="A864" s="12">
        <f t="shared" si="53"/>
        <v>25</v>
      </c>
      <c r="B864" s="12" t="str">
        <f t="shared" si="54"/>
        <v>Jun2025</v>
      </c>
      <c r="C864" s="12" t="str">
        <f t="shared" si="55"/>
        <v>Monday</v>
      </c>
      <c r="D864" s="13">
        <v>45824</v>
      </c>
      <c r="E864" s="14">
        <v>25</v>
      </c>
      <c r="F864" s="12">
        <v>11170517432</v>
      </c>
      <c r="G864" s="14" t="s">
        <v>4</v>
      </c>
      <c r="H864" s="14" t="s">
        <v>11</v>
      </c>
      <c r="I864" s="16" t="s">
        <v>215</v>
      </c>
      <c r="J864" s="14" t="str">
        <f t="shared" ca="1" si="52"/>
        <v>No</v>
      </c>
    </row>
    <row r="865" spans="1:10" x14ac:dyDescent="0.35">
      <c r="A865" s="12">
        <f t="shared" si="53"/>
        <v>25</v>
      </c>
      <c r="B865" s="12" t="str">
        <f t="shared" si="54"/>
        <v>Jun2025</v>
      </c>
      <c r="C865" s="12" t="str">
        <f t="shared" si="55"/>
        <v>Monday</v>
      </c>
      <c r="D865" s="13">
        <v>45824</v>
      </c>
      <c r="E865" s="14">
        <v>26</v>
      </c>
      <c r="F865" s="12">
        <v>11186300642</v>
      </c>
      <c r="G865" s="14" t="s">
        <v>7</v>
      </c>
      <c r="H865" s="14" t="s">
        <v>21</v>
      </c>
      <c r="I865" s="16" t="s">
        <v>58</v>
      </c>
      <c r="J865" s="14" t="str">
        <f t="shared" ca="1" si="52"/>
        <v>Yes</v>
      </c>
    </row>
    <row r="866" spans="1:10" x14ac:dyDescent="0.35">
      <c r="A866" s="12">
        <f t="shared" si="53"/>
        <v>25</v>
      </c>
      <c r="B866" s="12" t="str">
        <f t="shared" si="54"/>
        <v>Jun2025</v>
      </c>
      <c r="C866" s="12" t="str">
        <f t="shared" si="55"/>
        <v>Monday</v>
      </c>
      <c r="D866" s="13">
        <v>45824</v>
      </c>
      <c r="E866" s="14">
        <v>27</v>
      </c>
      <c r="F866" s="12">
        <v>11207192562</v>
      </c>
      <c r="G866" s="14" t="s">
        <v>7</v>
      </c>
      <c r="H866" s="14" t="s">
        <v>21</v>
      </c>
      <c r="I866" s="16" t="s">
        <v>58</v>
      </c>
      <c r="J866" s="14" t="str">
        <f t="shared" ca="1" si="52"/>
        <v>Yes</v>
      </c>
    </row>
    <row r="867" spans="1:10" x14ac:dyDescent="0.35">
      <c r="A867" s="12">
        <f t="shared" si="53"/>
        <v>25</v>
      </c>
      <c r="B867" s="12" t="str">
        <f t="shared" si="54"/>
        <v>Jun2025</v>
      </c>
      <c r="C867" s="12" t="str">
        <f t="shared" si="55"/>
        <v>Tuesday</v>
      </c>
      <c r="D867" s="13">
        <v>45825</v>
      </c>
      <c r="E867" s="14">
        <v>1</v>
      </c>
      <c r="F867" s="12">
        <v>11205760922</v>
      </c>
      <c r="G867" s="14" t="s">
        <v>7</v>
      </c>
      <c r="H867" s="14" t="s">
        <v>21</v>
      </c>
      <c r="I867" s="16" t="s">
        <v>58</v>
      </c>
      <c r="J867" s="14" t="str">
        <f t="shared" ca="1" si="52"/>
        <v>No</v>
      </c>
    </row>
    <row r="868" spans="1:10" x14ac:dyDescent="0.35">
      <c r="A868" s="12">
        <f t="shared" si="53"/>
        <v>25</v>
      </c>
      <c r="B868" s="12" t="str">
        <f t="shared" si="54"/>
        <v>Jun2025</v>
      </c>
      <c r="C868" s="12" t="str">
        <f t="shared" si="55"/>
        <v>Tuesday</v>
      </c>
      <c r="D868" s="13">
        <v>45825</v>
      </c>
      <c r="E868" s="14">
        <v>2</v>
      </c>
      <c r="F868" s="12">
        <v>11210521822</v>
      </c>
      <c r="G868" s="14" t="s">
        <v>3</v>
      </c>
      <c r="H868" s="14" t="s">
        <v>11</v>
      </c>
      <c r="I868" s="16" t="s">
        <v>138</v>
      </c>
      <c r="J868" s="14" t="str">
        <f t="shared" ca="1" si="52"/>
        <v>Yes</v>
      </c>
    </row>
    <row r="869" spans="1:10" x14ac:dyDescent="0.35">
      <c r="A869" s="12">
        <f t="shared" si="53"/>
        <v>25</v>
      </c>
      <c r="B869" s="12" t="str">
        <f t="shared" si="54"/>
        <v>Jun2025</v>
      </c>
      <c r="C869" s="12" t="str">
        <f t="shared" si="55"/>
        <v>Tuesday</v>
      </c>
      <c r="D869" s="13">
        <v>45825</v>
      </c>
      <c r="E869" s="14">
        <v>3</v>
      </c>
      <c r="F869" s="12">
        <v>11213542152</v>
      </c>
      <c r="G869" s="14" t="s">
        <v>4</v>
      </c>
      <c r="H869" s="14" t="s">
        <v>11</v>
      </c>
      <c r="I869" s="16" t="s">
        <v>92</v>
      </c>
      <c r="J869" s="14" t="str">
        <f t="shared" ca="1" si="52"/>
        <v>No</v>
      </c>
    </row>
    <row r="870" spans="1:10" x14ac:dyDescent="0.35">
      <c r="A870" s="12">
        <f t="shared" si="53"/>
        <v>25</v>
      </c>
      <c r="B870" s="12" t="str">
        <f t="shared" si="54"/>
        <v>Jun2025</v>
      </c>
      <c r="C870" s="12" t="str">
        <f t="shared" si="55"/>
        <v>Tuesday</v>
      </c>
      <c r="D870" s="13">
        <v>45825</v>
      </c>
      <c r="E870" s="14">
        <v>4</v>
      </c>
      <c r="F870" s="12">
        <v>11210521822</v>
      </c>
      <c r="G870" s="14" t="s">
        <v>4</v>
      </c>
      <c r="H870" s="14" t="s">
        <v>11</v>
      </c>
      <c r="I870" s="16" t="s">
        <v>29</v>
      </c>
      <c r="J870" s="14" t="str">
        <f t="shared" ca="1" si="52"/>
        <v>Yes</v>
      </c>
    </row>
    <row r="871" spans="1:10" x14ac:dyDescent="0.35">
      <c r="A871" s="12">
        <f t="shared" si="53"/>
        <v>25</v>
      </c>
      <c r="B871" s="12" t="str">
        <f t="shared" si="54"/>
        <v>Jun2025</v>
      </c>
      <c r="C871" s="12" t="str">
        <f t="shared" si="55"/>
        <v>Tuesday</v>
      </c>
      <c r="D871" s="13">
        <v>45825</v>
      </c>
      <c r="E871" s="14">
        <v>5</v>
      </c>
      <c r="F871" s="12">
        <v>11216082762</v>
      </c>
      <c r="G871" s="14" t="s">
        <v>4</v>
      </c>
      <c r="H871" s="14" t="s">
        <v>11</v>
      </c>
      <c r="I871" s="16" t="s">
        <v>78</v>
      </c>
      <c r="J871" s="14" t="str">
        <f t="shared" ca="1" si="52"/>
        <v>No</v>
      </c>
    </row>
    <row r="872" spans="1:10" x14ac:dyDescent="0.35">
      <c r="A872" s="12">
        <f t="shared" si="53"/>
        <v>25</v>
      </c>
      <c r="B872" s="12" t="str">
        <f t="shared" si="54"/>
        <v>Jun2025</v>
      </c>
      <c r="C872" s="12" t="str">
        <f t="shared" si="55"/>
        <v>Tuesday</v>
      </c>
      <c r="D872" s="13">
        <v>45825</v>
      </c>
      <c r="E872" s="14">
        <v>6</v>
      </c>
      <c r="F872" s="12">
        <v>11213624782</v>
      </c>
      <c r="G872" s="14" t="s">
        <v>4</v>
      </c>
      <c r="H872" s="14" t="s">
        <v>11</v>
      </c>
      <c r="I872" s="16" t="s">
        <v>223</v>
      </c>
      <c r="J872" s="14" t="str">
        <f t="shared" ca="1" si="52"/>
        <v>No</v>
      </c>
    </row>
    <row r="873" spans="1:10" x14ac:dyDescent="0.35">
      <c r="A873" s="12">
        <f t="shared" si="53"/>
        <v>25</v>
      </c>
      <c r="B873" s="12" t="str">
        <f t="shared" si="54"/>
        <v>Jun2025</v>
      </c>
      <c r="C873" s="12" t="str">
        <f t="shared" si="55"/>
        <v>Tuesday</v>
      </c>
      <c r="D873" s="13">
        <v>45825</v>
      </c>
      <c r="E873" s="14">
        <v>7</v>
      </c>
      <c r="F873" s="12">
        <v>11216802052</v>
      </c>
      <c r="G873" s="14" t="s">
        <v>3</v>
      </c>
      <c r="H873" s="14" t="s">
        <v>11</v>
      </c>
      <c r="I873" s="16" t="s">
        <v>138</v>
      </c>
      <c r="J873" s="14" t="str">
        <f t="shared" ca="1" si="52"/>
        <v>No</v>
      </c>
    </row>
    <row r="874" spans="1:10" x14ac:dyDescent="0.35">
      <c r="A874" s="12">
        <f t="shared" si="53"/>
        <v>25</v>
      </c>
      <c r="B874" s="12" t="str">
        <f t="shared" si="54"/>
        <v>Jun2025</v>
      </c>
      <c r="C874" s="12" t="str">
        <f t="shared" si="55"/>
        <v>Tuesday</v>
      </c>
      <c r="D874" s="13">
        <v>45825</v>
      </c>
      <c r="E874" s="14">
        <v>8</v>
      </c>
      <c r="F874" s="12">
        <v>11174442202</v>
      </c>
      <c r="G874" s="14" t="s">
        <v>4</v>
      </c>
      <c r="H874" s="14" t="s">
        <v>21</v>
      </c>
      <c r="I874" s="16" t="s">
        <v>33</v>
      </c>
      <c r="J874" s="14" t="str">
        <f t="shared" ca="1" si="52"/>
        <v>No</v>
      </c>
    </row>
    <row r="875" spans="1:10" x14ac:dyDescent="0.35">
      <c r="A875" s="12">
        <f t="shared" si="53"/>
        <v>25</v>
      </c>
      <c r="B875" s="12" t="str">
        <f t="shared" si="54"/>
        <v>Jun2025</v>
      </c>
      <c r="C875" s="12" t="str">
        <f t="shared" si="55"/>
        <v>Tuesday</v>
      </c>
      <c r="D875" s="13">
        <v>45825</v>
      </c>
      <c r="E875" s="14">
        <v>9</v>
      </c>
      <c r="F875" s="12">
        <v>11213588342</v>
      </c>
      <c r="G875" s="14" t="s">
        <v>3</v>
      </c>
      <c r="H875" s="14" t="s">
        <v>11</v>
      </c>
      <c r="I875" s="16" t="s">
        <v>16</v>
      </c>
      <c r="J875" s="14" t="str">
        <f t="shared" ca="1" si="52"/>
        <v>No</v>
      </c>
    </row>
    <row r="876" spans="1:10" x14ac:dyDescent="0.35">
      <c r="A876" s="12">
        <f t="shared" si="53"/>
        <v>25</v>
      </c>
      <c r="B876" s="12" t="str">
        <f t="shared" si="54"/>
        <v>Jun2025</v>
      </c>
      <c r="C876" s="12" t="str">
        <f t="shared" si="55"/>
        <v>Tuesday</v>
      </c>
      <c r="D876" s="13">
        <v>45825</v>
      </c>
      <c r="E876" s="14">
        <v>10</v>
      </c>
      <c r="F876" s="12">
        <v>11212870552</v>
      </c>
      <c r="G876" s="14" t="s">
        <v>4</v>
      </c>
      <c r="H876" s="14" t="s">
        <v>11</v>
      </c>
      <c r="I876" s="16" t="s">
        <v>212</v>
      </c>
      <c r="J876" s="14" t="str">
        <f t="shared" ca="1" si="52"/>
        <v>No</v>
      </c>
    </row>
    <row r="877" spans="1:10" x14ac:dyDescent="0.35">
      <c r="A877" s="12">
        <f t="shared" si="53"/>
        <v>25</v>
      </c>
      <c r="B877" s="12" t="str">
        <f t="shared" si="54"/>
        <v>Jun2025</v>
      </c>
      <c r="C877" s="12" t="str">
        <f t="shared" si="55"/>
        <v>Tuesday</v>
      </c>
      <c r="D877" s="13">
        <v>45825</v>
      </c>
      <c r="E877" s="14">
        <v>11</v>
      </c>
      <c r="F877" s="12">
        <v>11217189732</v>
      </c>
      <c r="G877" s="14" t="s">
        <v>4</v>
      </c>
      <c r="H877" s="14" t="s">
        <v>11</v>
      </c>
      <c r="I877" s="16" t="s">
        <v>118</v>
      </c>
      <c r="J877" s="14" t="str">
        <f t="shared" ca="1" si="52"/>
        <v>No</v>
      </c>
    </row>
    <row r="878" spans="1:10" x14ac:dyDescent="0.35">
      <c r="A878" s="12">
        <f t="shared" si="53"/>
        <v>25</v>
      </c>
      <c r="B878" s="12" t="str">
        <f t="shared" si="54"/>
        <v>Jun2025</v>
      </c>
      <c r="C878" s="12" t="str">
        <f t="shared" si="55"/>
        <v>Tuesday</v>
      </c>
      <c r="D878" s="13">
        <v>45825</v>
      </c>
      <c r="E878" s="14">
        <v>12</v>
      </c>
      <c r="F878" s="12">
        <v>11209711302</v>
      </c>
      <c r="G878" s="14" t="s">
        <v>10</v>
      </c>
      <c r="H878" s="14" t="s">
        <v>11</v>
      </c>
      <c r="I878" s="16" t="s">
        <v>14</v>
      </c>
      <c r="J878" s="14" t="str">
        <f t="shared" ca="1" si="52"/>
        <v>No</v>
      </c>
    </row>
    <row r="879" spans="1:10" x14ac:dyDescent="0.35">
      <c r="A879" s="12">
        <f t="shared" si="53"/>
        <v>25</v>
      </c>
      <c r="B879" s="12" t="str">
        <f t="shared" si="54"/>
        <v>Jun2025</v>
      </c>
      <c r="C879" s="12" t="str">
        <f t="shared" si="55"/>
        <v>Tuesday</v>
      </c>
      <c r="D879" s="13">
        <v>45825</v>
      </c>
      <c r="E879" s="14">
        <v>13</v>
      </c>
      <c r="F879" s="12">
        <v>11175133002</v>
      </c>
      <c r="G879" s="14" t="s">
        <v>4</v>
      </c>
      <c r="H879" s="14" t="s">
        <v>21</v>
      </c>
      <c r="I879" s="16" t="s">
        <v>24</v>
      </c>
      <c r="J879" s="14" t="str">
        <f t="shared" ca="1" si="52"/>
        <v>No</v>
      </c>
    </row>
    <row r="880" spans="1:10" x14ac:dyDescent="0.35">
      <c r="A880" s="12">
        <f t="shared" si="53"/>
        <v>25</v>
      </c>
      <c r="B880" s="12" t="str">
        <f t="shared" si="54"/>
        <v>Jun2025</v>
      </c>
      <c r="C880" s="12" t="str">
        <f t="shared" si="55"/>
        <v>Tuesday</v>
      </c>
      <c r="D880" s="13">
        <v>45825</v>
      </c>
      <c r="E880" s="14">
        <v>14</v>
      </c>
      <c r="F880" s="12">
        <v>11216082762</v>
      </c>
      <c r="G880" s="14" t="s">
        <v>4</v>
      </c>
      <c r="H880" s="14" t="s">
        <v>11</v>
      </c>
      <c r="I880" s="16" t="s">
        <v>103</v>
      </c>
      <c r="J880" s="14" t="str">
        <f t="shared" ca="1" si="52"/>
        <v>No</v>
      </c>
    </row>
    <row r="881" spans="1:10" x14ac:dyDescent="0.35">
      <c r="A881" s="12">
        <f t="shared" si="53"/>
        <v>25</v>
      </c>
      <c r="B881" s="12" t="str">
        <f t="shared" si="54"/>
        <v>Jun2025</v>
      </c>
      <c r="C881" s="12" t="str">
        <f t="shared" si="55"/>
        <v>Tuesday</v>
      </c>
      <c r="D881" s="13">
        <v>45825</v>
      </c>
      <c r="E881" s="14">
        <v>15</v>
      </c>
      <c r="F881" s="12">
        <v>11217042902</v>
      </c>
      <c r="G881" s="14" t="s">
        <v>4</v>
      </c>
      <c r="H881" s="14" t="s">
        <v>11</v>
      </c>
      <c r="I881" s="16" t="s">
        <v>108</v>
      </c>
      <c r="J881" s="14" t="str">
        <f t="shared" ca="1" si="52"/>
        <v>No</v>
      </c>
    </row>
    <row r="882" spans="1:10" x14ac:dyDescent="0.35">
      <c r="A882" s="12">
        <f t="shared" si="53"/>
        <v>25</v>
      </c>
      <c r="B882" s="12" t="str">
        <f t="shared" si="54"/>
        <v>Jun2025</v>
      </c>
      <c r="C882" s="12" t="str">
        <f t="shared" si="55"/>
        <v>Tuesday</v>
      </c>
      <c r="D882" s="13">
        <v>45825</v>
      </c>
      <c r="E882" s="14">
        <v>16</v>
      </c>
      <c r="F882" s="12">
        <v>11204050072</v>
      </c>
      <c r="G882" s="14" t="s">
        <v>4</v>
      </c>
      <c r="H882" s="14" t="s">
        <v>21</v>
      </c>
      <c r="I882" s="16" t="s">
        <v>24</v>
      </c>
      <c r="J882" s="14" t="str">
        <f t="shared" ca="1" si="52"/>
        <v>No</v>
      </c>
    </row>
    <row r="883" spans="1:10" x14ac:dyDescent="0.35">
      <c r="A883" s="12">
        <f t="shared" si="53"/>
        <v>25</v>
      </c>
      <c r="B883" s="12" t="str">
        <f t="shared" si="54"/>
        <v>Jun2025</v>
      </c>
      <c r="C883" s="12" t="str">
        <f t="shared" si="55"/>
        <v>Tuesday</v>
      </c>
      <c r="D883" s="13">
        <v>45825</v>
      </c>
      <c r="E883" s="14">
        <v>17</v>
      </c>
      <c r="F883" s="12">
        <v>11209891702</v>
      </c>
      <c r="G883" s="14" t="s">
        <v>4</v>
      </c>
      <c r="H883" s="14" t="s">
        <v>21</v>
      </c>
      <c r="I883" s="16" t="s">
        <v>24</v>
      </c>
      <c r="J883" s="14" t="str">
        <f t="shared" ca="1" si="52"/>
        <v>Yes</v>
      </c>
    </row>
    <row r="884" spans="1:10" x14ac:dyDescent="0.35">
      <c r="A884" s="12">
        <f t="shared" si="53"/>
        <v>25</v>
      </c>
      <c r="B884" s="12" t="str">
        <f t="shared" si="54"/>
        <v>Jun2025</v>
      </c>
      <c r="C884" s="12" t="str">
        <f t="shared" si="55"/>
        <v>Tuesday</v>
      </c>
      <c r="D884" s="13">
        <v>45825</v>
      </c>
      <c r="E884" s="14">
        <v>18</v>
      </c>
      <c r="F884" s="12">
        <v>11217320152</v>
      </c>
      <c r="G884" s="14" t="s">
        <v>7</v>
      </c>
      <c r="H884" s="14" t="s">
        <v>21</v>
      </c>
      <c r="I884" s="16" t="s">
        <v>127</v>
      </c>
      <c r="J884" s="14" t="str">
        <f t="shared" ca="1" si="52"/>
        <v>No</v>
      </c>
    </row>
    <row r="885" spans="1:10" x14ac:dyDescent="0.35">
      <c r="A885" s="12">
        <f t="shared" si="53"/>
        <v>25</v>
      </c>
      <c r="B885" s="12" t="str">
        <f t="shared" si="54"/>
        <v>Jun2025</v>
      </c>
      <c r="C885" s="12" t="str">
        <f t="shared" si="55"/>
        <v>Tuesday</v>
      </c>
      <c r="D885" s="13">
        <v>45825</v>
      </c>
      <c r="E885" s="14">
        <v>19</v>
      </c>
      <c r="F885" s="12">
        <v>11216082762</v>
      </c>
      <c r="G885" s="14" t="s">
        <v>4</v>
      </c>
      <c r="H885" s="14" t="s">
        <v>11</v>
      </c>
      <c r="I885" s="16" t="s">
        <v>78</v>
      </c>
      <c r="J885" s="14" t="str">
        <f t="shared" ca="1" si="52"/>
        <v>No</v>
      </c>
    </row>
    <row r="886" spans="1:10" x14ac:dyDescent="0.35">
      <c r="A886" s="12">
        <f t="shared" si="53"/>
        <v>25</v>
      </c>
      <c r="B886" s="12" t="str">
        <f t="shared" si="54"/>
        <v>Jun2025</v>
      </c>
      <c r="C886" s="12" t="str">
        <f t="shared" si="55"/>
        <v>Tuesday</v>
      </c>
      <c r="D886" s="13">
        <v>45825</v>
      </c>
      <c r="E886" s="14">
        <v>20</v>
      </c>
      <c r="F886" s="12">
        <v>11217591002</v>
      </c>
      <c r="G886" s="14" t="s">
        <v>7</v>
      </c>
      <c r="H886" s="14" t="s">
        <v>21</v>
      </c>
      <c r="I886" s="16" t="s">
        <v>58</v>
      </c>
      <c r="J886" s="14" t="str">
        <f t="shared" ca="1" si="52"/>
        <v>No</v>
      </c>
    </row>
    <row r="887" spans="1:10" x14ac:dyDescent="0.35">
      <c r="A887" s="12">
        <f t="shared" si="53"/>
        <v>25</v>
      </c>
      <c r="B887" s="12" t="str">
        <f t="shared" si="54"/>
        <v>Jun2025</v>
      </c>
      <c r="C887" s="12" t="str">
        <f t="shared" si="55"/>
        <v>Tuesday</v>
      </c>
      <c r="D887" s="13">
        <v>45825</v>
      </c>
      <c r="E887" s="14">
        <v>21</v>
      </c>
      <c r="F887" s="12">
        <v>11218004422</v>
      </c>
      <c r="G887" s="14" t="s">
        <v>5</v>
      </c>
      <c r="H887" s="14" t="s">
        <v>61</v>
      </c>
      <c r="I887" s="16" t="s">
        <v>106</v>
      </c>
      <c r="J887" s="14" t="str">
        <f t="shared" ca="1" si="52"/>
        <v>No</v>
      </c>
    </row>
    <row r="888" spans="1:10" x14ac:dyDescent="0.35">
      <c r="A888" s="12">
        <f t="shared" si="53"/>
        <v>25</v>
      </c>
      <c r="B888" s="12" t="str">
        <f t="shared" si="54"/>
        <v>Jun2025</v>
      </c>
      <c r="C888" s="12" t="str">
        <f t="shared" si="55"/>
        <v>Tuesday</v>
      </c>
      <c r="D888" s="13">
        <v>45825</v>
      </c>
      <c r="E888" s="14">
        <v>22</v>
      </c>
      <c r="F888" s="12">
        <v>11215794762</v>
      </c>
      <c r="G888" s="14" t="s">
        <v>7</v>
      </c>
      <c r="H888" s="14" t="s">
        <v>11</v>
      </c>
      <c r="I888" s="16" t="s">
        <v>79</v>
      </c>
      <c r="J888" s="14" t="str">
        <f t="shared" ca="1" si="52"/>
        <v>No</v>
      </c>
    </row>
    <row r="889" spans="1:10" x14ac:dyDescent="0.35">
      <c r="A889" s="12">
        <f t="shared" si="53"/>
        <v>25</v>
      </c>
      <c r="B889" s="12" t="str">
        <f t="shared" si="54"/>
        <v>Jun2025</v>
      </c>
      <c r="C889" s="12" t="str">
        <f t="shared" si="55"/>
        <v>Tuesday</v>
      </c>
      <c r="D889" s="13">
        <v>45825</v>
      </c>
      <c r="E889" s="14">
        <v>23</v>
      </c>
      <c r="F889" s="12">
        <v>11218117772</v>
      </c>
      <c r="G889" s="14" t="s">
        <v>4</v>
      </c>
      <c r="H889" s="14" t="s">
        <v>61</v>
      </c>
      <c r="I889" s="16" t="s">
        <v>88</v>
      </c>
      <c r="J889" s="14" t="str">
        <f t="shared" ca="1" si="52"/>
        <v>Yes</v>
      </c>
    </row>
    <row r="890" spans="1:10" x14ac:dyDescent="0.35">
      <c r="A890" s="12">
        <f t="shared" si="53"/>
        <v>25</v>
      </c>
      <c r="B890" s="12" t="str">
        <f t="shared" si="54"/>
        <v>Jun2025</v>
      </c>
      <c r="C890" s="12" t="str">
        <f t="shared" si="55"/>
        <v>Tuesday</v>
      </c>
      <c r="D890" s="13">
        <v>45825</v>
      </c>
      <c r="E890" s="14">
        <v>24</v>
      </c>
      <c r="F890" s="12">
        <v>11216771972</v>
      </c>
      <c r="G890" s="14" t="s">
        <v>4</v>
      </c>
      <c r="H890" s="14" t="s">
        <v>11</v>
      </c>
      <c r="I890" s="16" t="s">
        <v>43</v>
      </c>
      <c r="J890" s="14" t="str">
        <f t="shared" ca="1" si="52"/>
        <v>No</v>
      </c>
    </row>
    <row r="891" spans="1:10" x14ac:dyDescent="0.35">
      <c r="A891" s="12">
        <f t="shared" si="53"/>
        <v>25</v>
      </c>
      <c r="B891" s="12" t="str">
        <f t="shared" si="54"/>
        <v>Jun2025</v>
      </c>
      <c r="C891" s="12" t="str">
        <f t="shared" si="55"/>
        <v>Tuesday</v>
      </c>
      <c r="D891" s="13">
        <v>45825</v>
      </c>
      <c r="E891" s="14">
        <v>25</v>
      </c>
      <c r="F891" s="12">
        <v>11217873912</v>
      </c>
      <c r="G891" s="14" t="s">
        <v>4</v>
      </c>
      <c r="H891" s="14" t="s">
        <v>21</v>
      </c>
      <c r="I891" s="16" t="s">
        <v>117</v>
      </c>
      <c r="J891" s="14" t="str">
        <f t="shared" ca="1" si="52"/>
        <v>No</v>
      </c>
    </row>
    <row r="892" spans="1:10" x14ac:dyDescent="0.35">
      <c r="A892" s="12">
        <f t="shared" si="53"/>
        <v>25</v>
      </c>
      <c r="B892" s="12" t="str">
        <f t="shared" si="54"/>
        <v>Jun2025</v>
      </c>
      <c r="C892" s="12" t="str">
        <f t="shared" si="55"/>
        <v>Wednesday</v>
      </c>
      <c r="D892" s="13">
        <v>45826</v>
      </c>
      <c r="E892" s="14">
        <v>1</v>
      </c>
      <c r="F892" s="12">
        <v>11219275182</v>
      </c>
      <c r="G892" s="14" t="s">
        <v>4</v>
      </c>
      <c r="H892" s="14" t="s">
        <v>11</v>
      </c>
      <c r="I892" s="16" t="s">
        <v>92</v>
      </c>
      <c r="J892" s="14" t="str">
        <f t="shared" ca="1" si="52"/>
        <v>No</v>
      </c>
    </row>
    <row r="893" spans="1:10" x14ac:dyDescent="0.35">
      <c r="A893" s="12">
        <f t="shared" si="53"/>
        <v>25</v>
      </c>
      <c r="B893" s="12" t="str">
        <f t="shared" si="54"/>
        <v>Jun2025</v>
      </c>
      <c r="C893" s="12" t="str">
        <f t="shared" si="55"/>
        <v>Wednesday</v>
      </c>
      <c r="D893" s="13">
        <v>45826</v>
      </c>
      <c r="E893" s="14">
        <v>2</v>
      </c>
      <c r="F893" s="12">
        <v>11218599172</v>
      </c>
      <c r="G893" s="14" t="s">
        <v>4</v>
      </c>
      <c r="H893" s="14" t="s">
        <v>11</v>
      </c>
      <c r="I893" s="16" t="s">
        <v>92</v>
      </c>
      <c r="J893" s="14" t="str">
        <f t="shared" ca="1" si="52"/>
        <v>No</v>
      </c>
    </row>
    <row r="894" spans="1:10" x14ac:dyDescent="0.35">
      <c r="A894" s="12">
        <f t="shared" si="53"/>
        <v>25</v>
      </c>
      <c r="B894" s="12" t="str">
        <f t="shared" si="54"/>
        <v>Jun2025</v>
      </c>
      <c r="C894" s="12" t="str">
        <f t="shared" si="55"/>
        <v>Wednesday</v>
      </c>
      <c r="D894" s="13">
        <v>45826</v>
      </c>
      <c r="E894" s="14">
        <v>3</v>
      </c>
      <c r="F894" s="12">
        <v>11211434672</v>
      </c>
      <c r="G894" s="14" t="s">
        <v>4</v>
      </c>
      <c r="H894" s="14" t="s">
        <v>21</v>
      </c>
      <c r="I894" s="16" t="s">
        <v>24</v>
      </c>
      <c r="J894" s="14" t="str">
        <f t="shared" ca="1" si="52"/>
        <v>Yes</v>
      </c>
    </row>
    <row r="895" spans="1:10" x14ac:dyDescent="0.35">
      <c r="A895" s="12">
        <f t="shared" si="53"/>
        <v>25</v>
      </c>
      <c r="B895" s="12" t="str">
        <f t="shared" si="54"/>
        <v>Jun2025</v>
      </c>
      <c r="C895" s="12" t="str">
        <f t="shared" si="55"/>
        <v>Wednesday</v>
      </c>
      <c r="D895" s="13">
        <v>45826</v>
      </c>
      <c r="E895" s="14">
        <v>4</v>
      </c>
      <c r="F895" s="12">
        <v>11219508512</v>
      </c>
      <c r="G895" s="14" t="s">
        <v>5</v>
      </c>
      <c r="H895" s="14" t="s">
        <v>11</v>
      </c>
      <c r="I895" s="16" t="s">
        <v>72</v>
      </c>
      <c r="J895" s="14" t="str">
        <f t="shared" ca="1" si="52"/>
        <v>No</v>
      </c>
    </row>
    <row r="896" spans="1:10" x14ac:dyDescent="0.35">
      <c r="A896" s="12">
        <f t="shared" si="53"/>
        <v>25</v>
      </c>
      <c r="B896" s="12" t="str">
        <f t="shared" si="54"/>
        <v>Jun2025</v>
      </c>
      <c r="C896" s="12" t="str">
        <f t="shared" si="55"/>
        <v>Wednesday</v>
      </c>
      <c r="D896" s="13">
        <v>45826</v>
      </c>
      <c r="E896" s="14">
        <v>5</v>
      </c>
      <c r="F896" s="12">
        <v>11218839322</v>
      </c>
      <c r="G896" s="14" t="s">
        <v>5</v>
      </c>
      <c r="H896" s="14" t="s">
        <v>21</v>
      </c>
      <c r="I896" s="16" t="s">
        <v>5</v>
      </c>
      <c r="J896" s="14" t="str">
        <f t="shared" ca="1" si="52"/>
        <v>No</v>
      </c>
    </row>
    <row r="897" spans="1:10" x14ac:dyDescent="0.35">
      <c r="A897" s="12">
        <f t="shared" si="53"/>
        <v>25</v>
      </c>
      <c r="B897" s="12" t="str">
        <f t="shared" si="54"/>
        <v>Jun2025</v>
      </c>
      <c r="C897" s="12" t="str">
        <f t="shared" si="55"/>
        <v>Wednesday</v>
      </c>
      <c r="D897" s="13">
        <v>45826</v>
      </c>
      <c r="E897" s="14">
        <v>6</v>
      </c>
      <c r="F897" s="12">
        <v>11219607272</v>
      </c>
      <c r="G897" s="14" t="s">
        <v>10</v>
      </c>
      <c r="H897" s="14" t="s">
        <v>11</v>
      </c>
      <c r="I897" s="16" t="s">
        <v>14</v>
      </c>
      <c r="J897" s="14" t="str">
        <f t="shared" ca="1" si="52"/>
        <v>No</v>
      </c>
    </row>
    <row r="898" spans="1:10" x14ac:dyDescent="0.35">
      <c r="A898" s="12">
        <f t="shared" si="53"/>
        <v>25</v>
      </c>
      <c r="B898" s="12" t="str">
        <f t="shared" si="54"/>
        <v>Jun2025</v>
      </c>
      <c r="C898" s="12" t="str">
        <f t="shared" si="55"/>
        <v>Wednesday</v>
      </c>
      <c r="D898" s="13">
        <v>45826</v>
      </c>
      <c r="E898" s="14">
        <v>7</v>
      </c>
      <c r="F898" s="12">
        <v>11219999902</v>
      </c>
      <c r="G898" s="14" t="s">
        <v>7</v>
      </c>
      <c r="H898" s="14" t="s">
        <v>21</v>
      </c>
      <c r="I898" s="16" t="s">
        <v>21</v>
      </c>
      <c r="J898" s="14" t="str">
        <f t="shared" ref="J898:J961" ca="1" si="56">IF(RAND()&lt;0.2,"Yes","No")</f>
        <v>No</v>
      </c>
    </row>
    <row r="899" spans="1:10" x14ac:dyDescent="0.35">
      <c r="A899" s="12">
        <f t="shared" ref="A899:A962" si="57">WEEKNUM(D899)</f>
        <v>25</v>
      </c>
      <c r="B899" s="12" t="str">
        <f t="shared" ref="B899:B962" si="58">TEXT(D899,"MMMYYYY")</f>
        <v>Jun2025</v>
      </c>
      <c r="C899" s="12" t="str">
        <f t="shared" ref="C899:C962" si="59">TEXT(D899,"dddd")</f>
        <v>Wednesday</v>
      </c>
      <c r="D899" s="13">
        <v>45826</v>
      </c>
      <c r="E899" s="14">
        <v>8</v>
      </c>
      <c r="F899" s="12">
        <v>11219866002</v>
      </c>
      <c r="G899" s="14" t="s">
        <v>3</v>
      </c>
      <c r="H899" s="14" t="s">
        <v>11</v>
      </c>
      <c r="I899" s="16" t="s">
        <v>138</v>
      </c>
      <c r="J899" s="14" t="str">
        <f t="shared" ca="1" si="56"/>
        <v>No</v>
      </c>
    </row>
    <row r="900" spans="1:10" x14ac:dyDescent="0.35">
      <c r="A900" s="12">
        <f t="shared" si="57"/>
        <v>25</v>
      </c>
      <c r="B900" s="12" t="str">
        <f t="shared" si="58"/>
        <v>Jun2025</v>
      </c>
      <c r="C900" s="12" t="str">
        <f t="shared" si="59"/>
        <v>Wednesday</v>
      </c>
      <c r="D900" s="13">
        <v>45826</v>
      </c>
      <c r="E900" s="14">
        <v>9</v>
      </c>
      <c r="F900" s="12">
        <v>11220349202</v>
      </c>
      <c r="G900" s="14" t="s">
        <v>4</v>
      </c>
      <c r="H900" s="14" t="s">
        <v>21</v>
      </c>
      <c r="I900" s="16" t="s">
        <v>76</v>
      </c>
      <c r="J900" s="14" t="str">
        <f t="shared" ca="1" si="56"/>
        <v>No</v>
      </c>
    </row>
    <row r="901" spans="1:10" x14ac:dyDescent="0.35">
      <c r="A901" s="12">
        <f t="shared" si="57"/>
        <v>25</v>
      </c>
      <c r="B901" s="12" t="str">
        <f t="shared" si="58"/>
        <v>Jun2025</v>
      </c>
      <c r="C901" s="12" t="str">
        <f t="shared" si="59"/>
        <v>Wednesday</v>
      </c>
      <c r="D901" s="13">
        <v>45826</v>
      </c>
      <c r="E901" s="14">
        <v>10</v>
      </c>
      <c r="F901" s="12">
        <v>11221212512</v>
      </c>
      <c r="G901" s="14" t="s">
        <v>4</v>
      </c>
      <c r="H901" s="14" t="s">
        <v>11</v>
      </c>
      <c r="I901" s="16" t="s">
        <v>92</v>
      </c>
      <c r="J901" s="14" t="str">
        <f t="shared" ca="1" si="56"/>
        <v>No</v>
      </c>
    </row>
    <row r="902" spans="1:10" x14ac:dyDescent="0.35">
      <c r="A902" s="12">
        <f t="shared" si="57"/>
        <v>25</v>
      </c>
      <c r="B902" s="12" t="str">
        <f t="shared" si="58"/>
        <v>Jun2025</v>
      </c>
      <c r="C902" s="12" t="str">
        <f t="shared" si="59"/>
        <v>Wednesday</v>
      </c>
      <c r="D902" s="13">
        <v>45826</v>
      </c>
      <c r="E902" s="14">
        <v>11</v>
      </c>
      <c r="F902" s="12">
        <v>11219630222</v>
      </c>
      <c r="G902" s="14" t="s">
        <v>4</v>
      </c>
      <c r="H902" s="14" t="s">
        <v>11</v>
      </c>
      <c r="I902" s="16" t="s">
        <v>55</v>
      </c>
      <c r="J902" s="14" t="str">
        <f t="shared" ca="1" si="56"/>
        <v>No</v>
      </c>
    </row>
    <row r="903" spans="1:10" x14ac:dyDescent="0.35">
      <c r="A903" s="12">
        <f t="shared" si="57"/>
        <v>25</v>
      </c>
      <c r="B903" s="12" t="str">
        <f t="shared" si="58"/>
        <v>Jun2025</v>
      </c>
      <c r="C903" s="12" t="str">
        <f t="shared" si="59"/>
        <v>Wednesday</v>
      </c>
      <c r="D903" s="13">
        <v>45826</v>
      </c>
      <c r="E903" s="14">
        <v>12</v>
      </c>
      <c r="F903" s="12">
        <v>11221800522</v>
      </c>
      <c r="G903" s="14" t="s">
        <v>4</v>
      </c>
      <c r="H903" s="14" t="s">
        <v>11</v>
      </c>
      <c r="I903" s="16" t="s">
        <v>122</v>
      </c>
      <c r="J903" s="14" t="str">
        <f t="shared" ca="1" si="56"/>
        <v>No</v>
      </c>
    </row>
    <row r="904" spans="1:10" x14ac:dyDescent="0.35">
      <c r="A904" s="12">
        <f t="shared" si="57"/>
        <v>25</v>
      </c>
      <c r="B904" s="12" t="str">
        <f t="shared" si="58"/>
        <v>Jun2025</v>
      </c>
      <c r="C904" s="12" t="str">
        <f t="shared" si="59"/>
        <v>Wednesday</v>
      </c>
      <c r="D904" s="13">
        <v>45826</v>
      </c>
      <c r="E904" s="14">
        <v>13</v>
      </c>
      <c r="F904" s="12">
        <v>11221943392</v>
      </c>
      <c r="G904" s="14" t="s">
        <v>4</v>
      </c>
      <c r="H904" s="14" t="s">
        <v>21</v>
      </c>
      <c r="I904" s="16" t="s">
        <v>65</v>
      </c>
      <c r="J904" s="14" t="str">
        <f t="shared" ca="1" si="56"/>
        <v>No</v>
      </c>
    </row>
    <row r="905" spans="1:10" x14ac:dyDescent="0.35">
      <c r="A905" s="12">
        <f t="shared" si="57"/>
        <v>25</v>
      </c>
      <c r="B905" s="12" t="str">
        <f t="shared" si="58"/>
        <v>Jun2025</v>
      </c>
      <c r="C905" s="12" t="str">
        <f t="shared" si="59"/>
        <v>Wednesday</v>
      </c>
      <c r="D905" s="13">
        <v>45826</v>
      </c>
      <c r="E905" s="14">
        <v>14</v>
      </c>
      <c r="F905" s="12">
        <v>11201236612</v>
      </c>
      <c r="G905" s="14" t="s">
        <v>3</v>
      </c>
      <c r="H905" s="14" t="s">
        <v>11</v>
      </c>
      <c r="I905" s="16" t="s">
        <v>224</v>
      </c>
      <c r="J905" s="14" t="str">
        <f t="shared" ca="1" si="56"/>
        <v>No</v>
      </c>
    </row>
    <row r="906" spans="1:10" x14ac:dyDescent="0.35">
      <c r="A906" s="12">
        <f t="shared" si="57"/>
        <v>25</v>
      </c>
      <c r="B906" s="12" t="str">
        <f t="shared" si="58"/>
        <v>Jun2025</v>
      </c>
      <c r="C906" s="12" t="str">
        <f t="shared" si="59"/>
        <v>Wednesday</v>
      </c>
      <c r="D906" s="13">
        <v>45826</v>
      </c>
      <c r="E906" s="14">
        <v>15</v>
      </c>
      <c r="F906" s="12">
        <v>11214220532</v>
      </c>
      <c r="G906" s="14" t="s">
        <v>4</v>
      </c>
      <c r="H906" s="14" t="s">
        <v>61</v>
      </c>
      <c r="I906" s="16" t="s">
        <v>37</v>
      </c>
      <c r="J906" s="14" t="str">
        <f t="shared" ca="1" si="56"/>
        <v>No</v>
      </c>
    </row>
    <row r="907" spans="1:10" x14ac:dyDescent="0.35">
      <c r="A907" s="12">
        <f t="shared" si="57"/>
        <v>25</v>
      </c>
      <c r="B907" s="12" t="str">
        <f t="shared" si="58"/>
        <v>Jun2025</v>
      </c>
      <c r="C907" s="12" t="str">
        <f t="shared" si="59"/>
        <v>Wednesday</v>
      </c>
      <c r="D907" s="13">
        <v>45826</v>
      </c>
      <c r="E907" s="14">
        <v>16</v>
      </c>
      <c r="F907" s="12">
        <v>11213362332</v>
      </c>
      <c r="G907" s="14" t="s">
        <v>4</v>
      </c>
      <c r="H907" s="14" t="s">
        <v>21</v>
      </c>
      <c r="I907" s="16" t="s">
        <v>76</v>
      </c>
      <c r="J907" s="14" t="str">
        <f t="shared" ca="1" si="56"/>
        <v>No</v>
      </c>
    </row>
    <row r="908" spans="1:10" x14ac:dyDescent="0.35">
      <c r="A908" s="12">
        <f t="shared" si="57"/>
        <v>25</v>
      </c>
      <c r="B908" s="12" t="str">
        <f t="shared" si="58"/>
        <v>Jun2025</v>
      </c>
      <c r="C908" s="12" t="str">
        <f t="shared" si="59"/>
        <v>Wednesday</v>
      </c>
      <c r="D908" s="13">
        <v>45826</v>
      </c>
      <c r="E908" s="14">
        <v>17</v>
      </c>
      <c r="F908" s="12">
        <v>11221874052</v>
      </c>
      <c r="G908" s="14" t="s">
        <v>4</v>
      </c>
      <c r="H908" s="14" t="s">
        <v>61</v>
      </c>
      <c r="I908" s="16" t="s">
        <v>88</v>
      </c>
      <c r="J908" s="14" t="str">
        <f t="shared" ca="1" si="56"/>
        <v>No</v>
      </c>
    </row>
    <row r="909" spans="1:10" x14ac:dyDescent="0.35">
      <c r="A909" s="12">
        <f t="shared" si="57"/>
        <v>25</v>
      </c>
      <c r="B909" s="12" t="str">
        <f t="shared" si="58"/>
        <v>Jun2025</v>
      </c>
      <c r="C909" s="12" t="str">
        <f t="shared" si="59"/>
        <v>Wednesday</v>
      </c>
      <c r="D909" s="13">
        <v>45826</v>
      </c>
      <c r="E909" s="14">
        <v>18</v>
      </c>
      <c r="F909" s="12">
        <v>11221732122</v>
      </c>
      <c r="G909" s="14" t="s">
        <v>7</v>
      </c>
      <c r="H909" s="14" t="s">
        <v>61</v>
      </c>
      <c r="I909" s="16" t="s">
        <v>18</v>
      </c>
      <c r="J909" s="14" t="str">
        <f t="shared" ca="1" si="56"/>
        <v>No</v>
      </c>
    </row>
    <row r="910" spans="1:10" x14ac:dyDescent="0.35">
      <c r="A910" s="12">
        <f t="shared" si="57"/>
        <v>25</v>
      </c>
      <c r="B910" s="12" t="str">
        <f t="shared" si="58"/>
        <v>Jun2025</v>
      </c>
      <c r="C910" s="12" t="str">
        <f t="shared" si="59"/>
        <v>Wednesday</v>
      </c>
      <c r="D910" s="13">
        <v>45826</v>
      </c>
      <c r="E910" s="14">
        <v>19</v>
      </c>
      <c r="F910" s="12">
        <v>11222354172</v>
      </c>
      <c r="G910" s="14" t="s">
        <v>4</v>
      </c>
      <c r="H910" s="14" t="s">
        <v>11</v>
      </c>
      <c r="I910" s="16" t="s">
        <v>39</v>
      </c>
      <c r="J910" s="14" t="str">
        <f t="shared" ca="1" si="56"/>
        <v>No</v>
      </c>
    </row>
    <row r="911" spans="1:10" x14ac:dyDescent="0.35">
      <c r="A911" s="12">
        <f t="shared" si="57"/>
        <v>25</v>
      </c>
      <c r="B911" s="12" t="str">
        <f t="shared" si="58"/>
        <v>Jun2025</v>
      </c>
      <c r="C911" s="12" t="str">
        <f t="shared" si="59"/>
        <v>Wednesday</v>
      </c>
      <c r="D911" s="13">
        <v>45826</v>
      </c>
      <c r="E911" s="14">
        <v>20</v>
      </c>
      <c r="F911" s="12">
        <v>11218750942</v>
      </c>
      <c r="G911" s="14" t="s">
        <v>3</v>
      </c>
      <c r="H911" s="14" t="s">
        <v>11</v>
      </c>
      <c r="I911" s="16" t="s">
        <v>50</v>
      </c>
      <c r="J911" s="14" t="str">
        <f t="shared" ca="1" si="56"/>
        <v>No</v>
      </c>
    </row>
    <row r="912" spans="1:10" x14ac:dyDescent="0.35">
      <c r="A912" s="12">
        <f t="shared" si="57"/>
        <v>25</v>
      </c>
      <c r="B912" s="12" t="str">
        <f t="shared" si="58"/>
        <v>Jun2025</v>
      </c>
      <c r="C912" s="12" t="str">
        <f t="shared" si="59"/>
        <v>Wednesday</v>
      </c>
      <c r="D912" s="13">
        <v>45826</v>
      </c>
      <c r="E912" s="14">
        <v>21</v>
      </c>
      <c r="F912" s="12">
        <v>11222596512</v>
      </c>
      <c r="G912" s="14" t="s">
        <v>4</v>
      </c>
      <c r="H912" s="14" t="s">
        <v>11</v>
      </c>
      <c r="I912" s="16" t="s">
        <v>15</v>
      </c>
      <c r="J912" s="14" t="str">
        <f t="shared" ca="1" si="56"/>
        <v>No</v>
      </c>
    </row>
    <row r="913" spans="1:10" x14ac:dyDescent="0.35">
      <c r="A913" s="12">
        <f t="shared" si="57"/>
        <v>25</v>
      </c>
      <c r="B913" s="12" t="str">
        <f t="shared" si="58"/>
        <v>Jun2025</v>
      </c>
      <c r="C913" s="12" t="str">
        <f t="shared" si="59"/>
        <v>Wednesday</v>
      </c>
      <c r="D913" s="13">
        <v>45826</v>
      </c>
      <c r="E913" s="14">
        <v>22</v>
      </c>
      <c r="F913" s="12">
        <v>11222112872</v>
      </c>
      <c r="G913" s="14" t="s">
        <v>5</v>
      </c>
      <c r="H913" s="14" t="s">
        <v>11</v>
      </c>
      <c r="I913" s="16" t="s">
        <v>43</v>
      </c>
      <c r="J913" s="14" t="str">
        <f t="shared" ca="1" si="56"/>
        <v>No</v>
      </c>
    </row>
    <row r="914" spans="1:10" x14ac:dyDescent="0.35">
      <c r="A914" s="12">
        <f t="shared" si="57"/>
        <v>25</v>
      </c>
      <c r="B914" s="12" t="str">
        <f t="shared" si="58"/>
        <v>Jun2025</v>
      </c>
      <c r="C914" s="12" t="str">
        <f t="shared" si="59"/>
        <v>Wednesday</v>
      </c>
      <c r="D914" s="13">
        <v>45826</v>
      </c>
      <c r="E914" s="14">
        <v>23</v>
      </c>
      <c r="F914" s="12">
        <v>11222091192</v>
      </c>
      <c r="G914" s="14" t="s">
        <v>4</v>
      </c>
      <c r="H914" s="14" t="s">
        <v>11</v>
      </c>
      <c r="I914" s="16" t="s">
        <v>112</v>
      </c>
      <c r="J914" s="14" t="str">
        <f t="shared" ca="1" si="56"/>
        <v>No</v>
      </c>
    </row>
    <row r="915" spans="1:10" x14ac:dyDescent="0.35">
      <c r="A915" s="12">
        <f t="shared" si="57"/>
        <v>25</v>
      </c>
      <c r="B915" s="12" t="str">
        <f t="shared" si="58"/>
        <v>Jun2025</v>
      </c>
      <c r="C915" s="12" t="str">
        <f t="shared" si="59"/>
        <v>Wednesday</v>
      </c>
      <c r="D915" s="13">
        <v>45826</v>
      </c>
      <c r="E915" s="14">
        <v>24</v>
      </c>
      <c r="F915" s="12">
        <v>11222310232</v>
      </c>
      <c r="G915" s="14" t="s">
        <v>5</v>
      </c>
      <c r="H915" s="14" t="s">
        <v>11</v>
      </c>
      <c r="I915" s="16" t="s">
        <v>92</v>
      </c>
      <c r="J915" s="14" t="str">
        <f t="shared" ca="1" si="56"/>
        <v>No</v>
      </c>
    </row>
    <row r="916" spans="1:10" x14ac:dyDescent="0.35">
      <c r="A916" s="12">
        <f t="shared" si="57"/>
        <v>25</v>
      </c>
      <c r="B916" s="12" t="str">
        <f t="shared" si="58"/>
        <v>Jun2025</v>
      </c>
      <c r="C916" s="12" t="str">
        <f t="shared" si="59"/>
        <v>Thursday</v>
      </c>
      <c r="D916" s="13">
        <v>45827</v>
      </c>
      <c r="E916" s="14">
        <v>1</v>
      </c>
      <c r="F916" s="12">
        <v>11224177872</v>
      </c>
      <c r="G916" s="14" t="s">
        <v>5</v>
      </c>
      <c r="H916" s="14" t="s">
        <v>11</v>
      </c>
      <c r="I916" s="16" t="s">
        <v>225</v>
      </c>
      <c r="J916" s="14" t="str">
        <f t="shared" ca="1" si="56"/>
        <v>Yes</v>
      </c>
    </row>
    <row r="917" spans="1:10" x14ac:dyDescent="0.35">
      <c r="A917" s="12">
        <f t="shared" si="57"/>
        <v>25</v>
      </c>
      <c r="B917" s="12" t="str">
        <f t="shared" si="58"/>
        <v>Jun2025</v>
      </c>
      <c r="C917" s="12" t="str">
        <f t="shared" si="59"/>
        <v>Thursday</v>
      </c>
      <c r="D917" s="13">
        <v>45827</v>
      </c>
      <c r="E917" s="14">
        <v>2</v>
      </c>
      <c r="F917" s="12">
        <v>11223862012</v>
      </c>
      <c r="G917" s="14" t="s">
        <v>4</v>
      </c>
      <c r="H917" s="14" t="s">
        <v>61</v>
      </c>
      <c r="I917" s="16" t="s">
        <v>226</v>
      </c>
      <c r="J917" s="14" t="str">
        <f t="shared" ca="1" si="56"/>
        <v>No</v>
      </c>
    </row>
    <row r="918" spans="1:10" x14ac:dyDescent="0.35">
      <c r="A918" s="12">
        <f t="shared" si="57"/>
        <v>25</v>
      </c>
      <c r="B918" s="12" t="str">
        <f t="shared" si="58"/>
        <v>Jun2025</v>
      </c>
      <c r="C918" s="12" t="str">
        <f t="shared" si="59"/>
        <v>Thursday</v>
      </c>
      <c r="D918" s="13">
        <v>45827</v>
      </c>
      <c r="E918" s="14">
        <v>3</v>
      </c>
      <c r="F918" s="12">
        <v>11224367422</v>
      </c>
      <c r="G918" s="14" t="s">
        <v>4</v>
      </c>
      <c r="H918" s="14" t="s">
        <v>21</v>
      </c>
      <c r="I918" s="16" t="s">
        <v>30</v>
      </c>
      <c r="J918" s="14" t="str">
        <f t="shared" ca="1" si="56"/>
        <v>Yes</v>
      </c>
    </row>
    <row r="919" spans="1:10" x14ac:dyDescent="0.35">
      <c r="A919" s="12">
        <f t="shared" si="57"/>
        <v>25</v>
      </c>
      <c r="B919" s="12" t="str">
        <f t="shared" si="58"/>
        <v>Jun2025</v>
      </c>
      <c r="C919" s="12" t="str">
        <f t="shared" si="59"/>
        <v>Thursday</v>
      </c>
      <c r="D919" s="13">
        <v>45827</v>
      </c>
      <c r="E919" s="14">
        <v>4</v>
      </c>
      <c r="F919" s="12">
        <v>11224469322</v>
      </c>
      <c r="G919" s="14" t="s">
        <v>7</v>
      </c>
      <c r="H919" s="14" t="s">
        <v>21</v>
      </c>
      <c r="I919" s="16" t="s">
        <v>58</v>
      </c>
      <c r="J919" s="14" t="str">
        <f t="shared" ca="1" si="56"/>
        <v>No</v>
      </c>
    </row>
    <row r="920" spans="1:10" x14ac:dyDescent="0.35">
      <c r="A920" s="12">
        <f t="shared" si="57"/>
        <v>25</v>
      </c>
      <c r="B920" s="12" t="str">
        <f t="shared" si="58"/>
        <v>Jun2025</v>
      </c>
      <c r="C920" s="12" t="str">
        <f t="shared" si="59"/>
        <v>Thursday</v>
      </c>
      <c r="D920" s="13">
        <v>45827</v>
      </c>
      <c r="E920" s="14">
        <v>5</v>
      </c>
      <c r="F920" s="12">
        <v>11137111952</v>
      </c>
      <c r="G920" s="14" t="s">
        <v>7</v>
      </c>
      <c r="H920" s="14" t="s">
        <v>61</v>
      </c>
      <c r="I920" s="16" t="s">
        <v>227</v>
      </c>
      <c r="J920" s="14" t="str">
        <f t="shared" ca="1" si="56"/>
        <v>Yes</v>
      </c>
    </row>
    <row r="921" spans="1:10" x14ac:dyDescent="0.35">
      <c r="A921" s="12">
        <f t="shared" si="57"/>
        <v>25</v>
      </c>
      <c r="B921" s="12" t="str">
        <f t="shared" si="58"/>
        <v>Jun2025</v>
      </c>
      <c r="C921" s="12" t="str">
        <f t="shared" si="59"/>
        <v>Thursday</v>
      </c>
      <c r="D921" s="13">
        <v>45827</v>
      </c>
      <c r="E921" s="14">
        <v>6</v>
      </c>
      <c r="F921" s="12">
        <v>11224281512</v>
      </c>
      <c r="G921" s="14" t="s">
        <v>4</v>
      </c>
      <c r="H921" s="14" t="s">
        <v>61</v>
      </c>
      <c r="I921" s="16" t="s">
        <v>80</v>
      </c>
      <c r="J921" s="14" t="str">
        <f t="shared" ca="1" si="56"/>
        <v>No</v>
      </c>
    </row>
    <row r="922" spans="1:10" x14ac:dyDescent="0.35">
      <c r="A922" s="12">
        <f t="shared" si="57"/>
        <v>25</v>
      </c>
      <c r="B922" s="12" t="str">
        <f t="shared" si="58"/>
        <v>Jun2025</v>
      </c>
      <c r="C922" s="12" t="str">
        <f t="shared" si="59"/>
        <v>Thursday</v>
      </c>
      <c r="D922" s="13">
        <v>45827</v>
      </c>
      <c r="E922" s="14">
        <v>7</v>
      </c>
      <c r="F922" s="12">
        <v>11222080582</v>
      </c>
      <c r="G922" s="14" t="s">
        <v>3</v>
      </c>
      <c r="H922" s="14" t="s">
        <v>11</v>
      </c>
      <c r="I922" s="16" t="s">
        <v>64</v>
      </c>
      <c r="J922" s="14" t="str">
        <f t="shared" ca="1" si="56"/>
        <v>No</v>
      </c>
    </row>
    <row r="923" spans="1:10" x14ac:dyDescent="0.35">
      <c r="A923" s="12">
        <f t="shared" si="57"/>
        <v>25</v>
      </c>
      <c r="B923" s="12" t="str">
        <f t="shared" si="58"/>
        <v>Jun2025</v>
      </c>
      <c r="C923" s="12" t="str">
        <f t="shared" si="59"/>
        <v>Thursday</v>
      </c>
      <c r="D923" s="13">
        <v>45827</v>
      </c>
      <c r="E923" s="14">
        <v>8</v>
      </c>
      <c r="F923" s="12">
        <v>11224450612</v>
      </c>
      <c r="G923" s="14" t="s">
        <v>4</v>
      </c>
      <c r="H923" s="14" t="s">
        <v>11</v>
      </c>
      <c r="I923" s="16" t="s">
        <v>228</v>
      </c>
      <c r="J923" s="14" t="str">
        <f t="shared" ca="1" si="56"/>
        <v>Yes</v>
      </c>
    </row>
    <row r="924" spans="1:10" x14ac:dyDescent="0.35">
      <c r="A924" s="12">
        <f t="shared" si="57"/>
        <v>25</v>
      </c>
      <c r="B924" s="12" t="str">
        <f t="shared" si="58"/>
        <v>Jun2025</v>
      </c>
      <c r="C924" s="12" t="str">
        <f t="shared" si="59"/>
        <v>Thursday</v>
      </c>
      <c r="D924" s="13">
        <v>45827</v>
      </c>
      <c r="E924" s="14">
        <v>9</v>
      </c>
      <c r="F924" s="12">
        <v>11224425242</v>
      </c>
      <c r="G924" s="14" t="s">
        <v>4</v>
      </c>
      <c r="H924" s="14" t="s">
        <v>11</v>
      </c>
      <c r="I924" s="16" t="s">
        <v>229</v>
      </c>
      <c r="J924" s="14" t="str">
        <f t="shared" ca="1" si="56"/>
        <v>Yes</v>
      </c>
    </row>
    <row r="925" spans="1:10" x14ac:dyDescent="0.35">
      <c r="A925" s="12">
        <f t="shared" si="57"/>
        <v>25</v>
      </c>
      <c r="B925" s="12" t="str">
        <f t="shared" si="58"/>
        <v>Jun2025</v>
      </c>
      <c r="C925" s="12" t="str">
        <f t="shared" si="59"/>
        <v>Thursday</v>
      </c>
      <c r="D925" s="13">
        <v>45827</v>
      </c>
      <c r="E925" s="14">
        <v>10</v>
      </c>
      <c r="F925" s="12">
        <v>11224985412</v>
      </c>
      <c r="G925" s="14" t="s">
        <v>4</v>
      </c>
      <c r="H925" s="14" t="s">
        <v>11</v>
      </c>
      <c r="I925" s="16" t="s">
        <v>15</v>
      </c>
      <c r="J925" s="14" t="str">
        <f t="shared" ca="1" si="56"/>
        <v>No</v>
      </c>
    </row>
    <row r="926" spans="1:10" x14ac:dyDescent="0.35">
      <c r="A926" s="12">
        <f t="shared" si="57"/>
        <v>25</v>
      </c>
      <c r="B926" s="12" t="str">
        <f t="shared" si="58"/>
        <v>Jun2025</v>
      </c>
      <c r="C926" s="12" t="str">
        <f t="shared" si="59"/>
        <v>Thursday</v>
      </c>
      <c r="D926" s="13">
        <v>45827</v>
      </c>
      <c r="E926" s="14">
        <v>11</v>
      </c>
      <c r="F926" s="12">
        <v>11172021912</v>
      </c>
      <c r="G926" s="14" t="s">
        <v>3</v>
      </c>
      <c r="H926" s="14" t="s">
        <v>11</v>
      </c>
      <c r="I926" s="16" t="s">
        <v>16</v>
      </c>
      <c r="J926" s="14" t="str">
        <f t="shared" ca="1" si="56"/>
        <v>Yes</v>
      </c>
    </row>
    <row r="927" spans="1:10" x14ac:dyDescent="0.35">
      <c r="A927" s="12">
        <f t="shared" si="57"/>
        <v>25</v>
      </c>
      <c r="B927" s="12" t="str">
        <f t="shared" si="58"/>
        <v>Jun2025</v>
      </c>
      <c r="C927" s="12" t="str">
        <f t="shared" si="59"/>
        <v>Thursday</v>
      </c>
      <c r="D927" s="13">
        <v>45827</v>
      </c>
      <c r="E927" s="14">
        <v>12</v>
      </c>
      <c r="F927" s="12">
        <v>11224616622</v>
      </c>
      <c r="G927" s="14" t="s">
        <v>4</v>
      </c>
      <c r="H927" s="14" t="s">
        <v>21</v>
      </c>
      <c r="I927" s="16" t="s">
        <v>76</v>
      </c>
      <c r="J927" s="14" t="str">
        <f t="shared" ca="1" si="56"/>
        <v>No</v>
      </c>
    </row>
    <row r="928" spans="1:10" x14ac:dyDescent="0.35">
      <c r="A928" s="12">
        <f t="shared" si="57"/>
        <v>25</v>
      </c>
      <c r="B928" s="12" t="str">
        <f t="shared" si="58"/>
        <v>Jun2025</v>
      </c>
      <c r="C928" s="12" t="str">
        <f t="shared" si="59"/>
        <v>Thursday</v>
      </c>
      <c r="D928" s="13">
        <v>45827</v>
      </c>
      <c r="E928" s="14">
        <v>13</v>
      </c>
      <c r="F928" s="12">
        <v>11225197102</v>
      </c>
      <c r="G928" s="14" t="s">
        <v>7</v>
      </c>
      <c r="H928" s="14" t="s">
        <v>61</v>
      </c>
      <c r="I928" s="16" t="s">
        <v>95</v>
      </c>
      <c r="J928" s="14" t="str">
        <f t="shared" ca="1" si="56"/>
        <v>No</v>
      </c>
    </row>
    <row r="929" spans="1:10" x14ac:dyDescent="0.35">
      <c r="A929" s="12">
        <f t="shared" si="57"/>
        <v>25</v>
      </c>
      <c r="B929" s="12" t="str">
        <f t="shared" si="58"/>
        <v>Jun2025</v>
      </c>
      <c r="C929" s="12" t="str">
        <f t="shared" si="59"/>
        <v>Thursday</v>
      </c>
      <c r="D929" s="13">
        <v>45827</v>
      </c>
      <c r="E929" s="14">
        <v>14</v>
      </c>
      <c r="F929" s="12">
        <v>11224509202</v>
      </c>
      <c r="G929" s="14" t="s">
        <v>4</v>
      </c>
      <c r="H929" s="14" t="s">
        <v>21</v>
      </c>
      <c r="I929" s="16" t="s">
        <v>22</v>
      </c>
      <c r="J929" s="14" t="str">
        <f t="shared" ca="1" si="56"/>
        <v>No</v>
      </c>
    </row>
    <row r="930" spans="1:10" x14ac:dyDescent="0.35">
      <c r="A930" s="12">
        <f t="shared" si="57"/>
        <v>25</v>
      </c>
      <c r="B930" s="12" t="str">
        <f t="shared" si="58"/>
        <v>Jun2025</v>
      </c>
      <c r="C930" s="12" t="str">
        <f t="shared" si="59"/>
        <v>Thursday</v>
      </c>
      <c r="D930" s="13">
        <v>45827</v>
      </c>
      <c r="E930" s="14">
        <v>15</v>
      </c>
      <c r="F930" s="12">
        <v>11212584072</v>
      </c>
      <c r="G930" s="14" t="s">
        <v>4</v>
      </c>
      <c r="H930" s="14" t="s">
        <v>21</v>
      </c>
      <c r="I930" s="16" t="s">
        <v>24</v>
      </c>
      <c r="J930" s="14" t="str">
        <f t="shared" ca="1" si="56"/>
        <v>No</v>
      </c>
    </row>
    <row r="931" spans="1:10" x14ac:dyDescent="0.35">
      <c r="A931" s="12">
        <f t="shared" si="57"/>
        <v>25</v>
      </c>
      <c r="B931" s="12" t="str">
        <f t="shared" si="58"/>
        <v>Jun2025</v>
      </c>
      <c r="C931" s="12" t="str">
        <f t="shared" si="59"/>
        <v>Thursday</v>
      </c>
      <c r="D931" s="13">
        <v>45827</v>
      </c>
      <c r="E931" s="14">
        <v>16</v>
      </c>
      <c r="F931" s="12">
        <v>11217683752</v>
      </c>
      <c r="G931" s="14" t="s">
        <v>3</v>
      </c>
      <c r="H931" s="14" t="s">
        <v>11</v>
      </c>
      <c r="I931" s="16" t="s">
        <v>16</v>
      </c>
      <c r="J931" s="14" t="str">
        <f t="shared" ca="1" si="56"/>
        <v>No</v>
      </c>
    </row>
    <row r="932" spans="1:10" x14ac:dyDescent="0.35">
      <c r="A932" s="12">
        <f t="shared" si="57"/>
        <v>25</v>
      </c>
      <c r="B932" s="12" t="str">
        <f t="shared" si="58"/>
        <v>Jun2025</v>
      </c>
      <c r="C932" s="12" t="str">
        <f t="shared" si="59"/>
        <v>Thursday</v>
      </c>
      <c r="D932" s="13">
        <v>45827</v>
      </c>
      <c r="E932" s="14">
        <v>17</v>
      </c>
      <c r="F932" s="12">
        <v>11219866002</v>
      </c>
      <c r="G932" s="14" t="s">
        <v>4</v>
      </c>
      <c r="H932" s="14" t="s">
        <v>11</v>
      </c>
      <c r="I932" s="16" t="s">
        <v>138</v>
      </c>
      <c r="J932" s="14" t="str">
        <f t="shared" ca="1" si="56"/>
        <v>No</v>
      </c>
    </row>
    <row r="933" spans="1:10" x14ac:dyDescent="0.35">
      <c r="A933" s="12">
        <f t="shared" si="57"/>
        <v>25</v>
      </c>
      <c r="B933" s="12" t="str">
        <f t="shared" si="58"/>
        <v>Jun2025</v>
      </c>
      <c r="C933" s="12" t="str">
        <f t="shared" si="59"/>
        <v>Thursday</v>
      </c>
      <c r="D933" s="13">
        <v>45827</v>
      </c>
      <c r="E933" s="14">
        <v>18</v>
      </c>
      <c r="F933" s="12">
        <v>11222310232</v>
      </c>
      <c r="G933" s="14" t="s">
        <v>4</v>
      </c>
      <c r="H933" s="14" t="s">
        <v>11</v>
      </c>
      <c r="I933" s="16" t="s">
        <v>24</v>
      </c>
      <c r="J933" s="14" t="str">
        <f t="shared" ca="1" si="56"/>
        <v>No</v>
      </c>
    </row>
    <row r="934" spans="1:10" x14ac:dyDescent="0.35">
      <c r="A934" s="12">
        <f t="shared" si="57"/>
        <v>25</v>
      </c>
      <c r="B934" s="12" t="str">
        <f t="shared" si="58"/>
        <v>Jun2025</v>
      </c>
      <c r="C934" s="12" t="str">
        <f t="shared" si="59"/>
        <v>Thursday</v>
      </c>
      <c r="D934" s="13">
        <v>45827</v>
      </c>
      <c r="E934" s="14">
        <v>19</v>
      </c>
      <c r="F934" s="12">
        <v>11217873912</v>
      </c>
      <c r="G934" s="14" t="s">
        <v>5</v>
      </c>
      <c r="H934" s="14" t="s">
        <v>21</v>
      </c>
      <c r="I934" s="16" t="s">
        <v>51</v>
      </c>
      <c r="J934" s="14" t="str">
        <f t="shared" ca="1" si="56"/>
        <v>Yes</v>
      </c>
    </row>
    <row r="935" spans="1:10" x14ac:dyDescent="0.35">
      <c r="A935" s="12">
        <f t="shared" si="57"/>
        <v>25</v>
      </c>
      <c r="B935" s="12" t="str">
        <f t="shared" si="58"/>
        <v>Jun2025</v>
      </c>
      <c r="C935" s="12" t="str">
        <f t="shared" si="59"/>
        <v>Thursday</v>
      </c>
      <c r="D935" s="13">
        <v>45827</v>
      </c>
      <c r="E935" s="14">
        <v>20</v>
      </c>
      <c r="F935" s="12">
        <v>11201236612</v>
      </c>
      <c r="G935" s="14" t="s">
        <v>3</v>
      </c>
      <c r="H935" s="14" t="s">
        <v>11</v>
      </c>
      <c r="I935" s="16" t="s">
        <v>16</v>
      </c>
      <c r="J935" s="14" t="str">
        <f t="shared" ca="1" si="56"/>
        <v>Yes</v>
      </c>
    </row>
    <row r="936" spans="1:10" x14ac:dyDescent="0.35">
      <c r="A936" s="12">
        <f t="shared" si="57"/>
        <v>25</v>
      </c>
      <c r="B936" s="12" t="str">
        <f t="shared" si="58"/>
        <v>Jun2025</v>
      </c>
      <c r="C936" s="12" t="str">
        <f t="shared" si="59"/>
        <v>Thursday</v>
      </c>
      <c r="D936" s="13">
        <v>45827</v>
      </c>
      <c r="E936" s="14">
        <v>21</v>
      </c>
      <c r="F936" s="12">
        <v>11219699482</v>
      </c>
      <c r="G936" s="14" t="s">
        <v>7</v>
      </c>
      <c r="H936" s="14" t="s">
        <v>61</v>
      </c>
      <c r="I936" s="16" t="s">
        <v>47</v>
      </c>
      <c r="J936" s="14" t="str">
        <f t="shared" ca="1" si="56"/>
        <v>No</v>
      </c>
    </row>
    <row r="937" spans="1:10" x14ac:dyDescent="0.35">
      <c r="A937" s="12">
        <f t="shared" si="57"/>
        <v>25</v>
      </c>
      <c r="B937" s="12" t="str">
        <f t="shared" si="58"/>
        <v>Jun2025</v>
      </c>
      <c r="C937" s="12" t="str">
        <f t="shared" si="59"/>
        <v>Thursday</v>
      </c>
      <c r="D937" s="13">
        <v>45827</v>
      </c>
      <c r="E937" s="14">
        <v>22</v>
      </c>
      <c r="F937" s="12">
        <v>11225742312</v>
      </c>
      <c r="G937" s="14" t="s">
        <v>3</v>
      </c>
      <c r="H937" s="14" t="s">
        <v>61</v>
      </c>
      <c r="I937" s="16" t="s">
        <v>110</v>
      </c>
      <c r="J937" s="14" t="str">
        <f t="shared" ca="1" si="56"/>
        <v>Yes</v>
      </c>
    </row>
    <row r="938" spans="1:10" x14ac:dyDescent="0.35">
      <c r="A938" s="12">
        <f t="shared" si="57"/>
        <v>25</v>
      </c>
      <c r="B938" s="12" t="str">
        <f t="shared" si="58"/>
        <v>Jun2025</v>
      </c>
      <c r="C938" s="12" t="str">
        <f t="shared" si="59"/>
        <v>Thursday</v>
      </c>
      <c r="D938" s="13">
        <v>45827</v>
      </c>
      <c r="E938" s="14">
        <v>23</v>
      </c>
      <c r="F938" s="12">
        <v>11170810202</v>
      </c>
      <c r="G938" s="14" t="s">
        <v>5</v>
      </c>
      <c r="H938" s="14" t="s">
        <v>21</v>
      </c>
      <c r="I938" s="16" t="s">
        <v>51</v>
      </c>
      <c r="J938" s="14" t="str">
        <f t="shared" ca="1" si="56"/>
        <v>No</v>
      </c>
    </row>
    <row r="939" spans="1:10" x14ac:dyDescent="0.35">
      <c r="A939" s="12">
        <f t="shared" si="57"/>
        <v>25</v>
      </c>
      <c r="B939" s="12" t="str">
        <f t="shared" si="58"/>
        <v>Jun2025</v>
      </c>
      <c r="C939" s="12" t="str">
        <f t="shared" si="59"/>
        <v>Thursday</v>
      </c>
      <c r="D939" s="13">
        <v>45827</v>
      </c>
      <c r="E939" s="14">
        <v>24</v>
      </c>
      <c r="F939" s="12">
        <v>11225742312</v>
      </c>
      <c r="G939" s="14" t="s">
        <v>4</v>
      </c>
      <c r="H939" s="14" t="s">
        <v>61</v>
      </c>
      <c r="I939" s="16" t="s">
        <v>110</v>
      </c>
      <c r="J939" s="14" t="str">
        <f t="shared" ca="1" si="56"/>
        <v>Yes</v>
      </c>
    </row>
    <row r="940" spans="1:10" x14ac:dyDescent="0.35">
      <c r="A940" s="12">
        <f t="shared" si="57"/>
        <v>25</v>
      </c>
      <c r="B940" s="12" t="str">
        <f t="shared" si="58"/>
        <v>Jun2025</v>
      </c>
      <c r="C940" s="12" t="str">
        <f t="shared" si="59"/>
        <v>Thursday</v>
      </c>
      <c r="D940" s="13">
        <v>45827</v>
      </c>
      <c r="E940" s="14">
        <v>25</v>
      </c>
      <c r="F940" s="12">
        <v>10720180962</v>
      </c>
      <c r="G940" s="14" t="s">
        <v>4</v>
      </c>
      <c r="H940" s="14" t="s">
        <v>11</v>
      </c>
      <c r="I940" s="16" t="s">
        <v>230</v>
      </c>
      <c r="J940" s="14" t="str">
        <f t="shared" ca="1" si="56"/>
        <v>No</v>
      </c>
    </row>
    <row r="941" spans="1:10" x14ac:dyDescent="0.35">
      <c r="A941" s="12">
        <f t="shared" si="57"/>
        <v>26</v>
      </c>
      <c r="B941" s="12" t="str">
        <f t="shared" si="58"/>
        <v>Jun2025</v>
      </c>
      <c r="C941" s="12" t="str">
        <f t="shared" si="59"/>
        <v>Monday</v>
      </c>
      <c r="D941" s="13">
        <v>45831</v>
      </c>
      <c r="E941" s="14">
        <v>1</v>
      </c>
      <c r="F941" s="12">
        <v>11225900172</v>
      </c>
      <c r="G941" s="14" t="s">
        <v>4</v>
      </c>
      <c r="H941" s="14" t="s">
        <v>11</v>
      </c>
      <c r="I941" s="16" t="s">
        <v>22</v>
      </c>
      <c r="J941" s="14" t="str">
        <f t="shared" ca="1" si="56"/>
        <v>No</v>
      </c>
    </row>
    <row r="942" spans="1:10" x14ac:dyDescent="0.35">
      <c r="A942" s="12">
        <f t="shared" si="57"/>
        <v>26</v>
      </c>
      <c r="B942" s="12" t="str">
        <f t="shared" si="58"/>
        <v>Jun2025</v>
      </c>
      <c r="C942" s="12" t="str">
        <f t="shared" si="59"/>
        <v>Monday</v>
      </c>
      <c r="D942" s="13">
        <v>45831</v>
      </c>
      <c r="E942" s="14">
        <v>2</v>
      </c>
      <c r="F942" s="12">
        <v>11236322312</v>
      </c>
      <c r="G942" s="14" t="s">
        <v>3</v>
      </c>
      <c r="H942" s="14" t="s">
        <v>11</v>
      </c>
      <c r="I942" s="16" t="s">
        <v>64</v>
      </c>
      <c r="J942" s="14" t="str">
        <f t="shared" ca="1" si="56"/>
        <v>No</v>
      </c>
    </row>
    <row r="943" spans="1:10" x14ac:dyDescent="0.35">
      <c r="A943" s="12">
        <f t="shared" si="57"/>
        <v>26</v>
      </c>
      <c r="B943" s="12" t="str">
        <f t="shared" si="58"/>
        <v>Jun2025</v>
      </c>
      <c r="C943" s="12" t="str">
        <f t="shared" si="59"/>
        <v>Monday</v>
      </c>
      <c r="D943" s="13">
        <v>45831</v>
      </c>
      <c r="E943" s="14">
        <v>3</v>
      </c>
      <c r="F943" s="12">
        <v>11236363052</v>
      </c>
      <c r="G943" s="14" t="s">
        <v>4</v>
      </c>
      <c r="H943" s="14" t="s">
        <v>11</v>
      </c>
      <c r="I943" s="16" t="s">
        <v>189</v>
      </c>
      <c r="J943" s="14" t="str">
        <f t="shared" ca="1" si="56"/>
        <v>Yes</v>
      </c>
    </row>
    <row r="944" spans="1:10" x14ac:dyDescent="0.35">
      <c r="A944" s="12">
        <f t="shared" si="57"/>
        <v>26</v>
      </c>
      <c r="B944" s="12" t="str">
        <f t="shared" si="58"/>
        <v>Jun2025</v>
      </c>
      <c r="C944" s="12" t="str">
        <f t="shared" si="59"/>
        <v>Monday</v>
      </c>
      <c r="D944" s="13">
        <v>45831</v>
      </c>
      <c r="E944" s="14">
        <v>4</v>
      </c>
      <c r="F944" s="12">
        <v>11236188402</v>
      </c>
      <c r="G944" s="14" t="s">
        <v>4</v>
      </c>
      <c r="H944" s="14" t="s">
        <v>21</v>
      </c>
      <c r="I944" s="16" t="s">
        <v>100</v>
      </c>
      <c r="J944" s="14" t="str">
        <f t="shared" ca="1" si="56"/>
        <v>Yes</v>
      </c>
    </row>
    <row r="945" spans="1:10" x14ac:dyDescent="0.35">
      <c r="A945" s="12">
        <f t="shared" si="57"/>
        <v>26</v>
      </c>
      <c r="B945" s="12" t="str">
        <f t="shared" si="58"/>
        <v>Jun2025</v>
      </c>
      <c r="C945" s="12" t="str">
        <f t="shared" si="59"/>
        <v>Monday</v>
      </c>
      <c r="D945" s="13">
        <v>45831</v>
      </c>
      <c r="E945" s="14">
        <v>5</v>
      </c>
      <c r="F945" s="12">
        <v>11231450942</v>
      </c>
      <c r="G945" s="14" t="s">
        <v>5</v>
      </c>
      <c r="H945" s="14" t="s">
        <v>21</v>
      </c>
      <c r="I945" s="16" t="s">
        <v>36</v>
      </c>
      <c r="J945" s="14" t="str">
        <f t="shared" ca="1" si="56"/>
        <v>No</v>
      </c>
    </row>
    <row r="946" spans="1:10" x14ac:dyDescent="0.35">
      <c r="A946" s="12">
        <f t="shared" si="57"/>
        <v>26</v>
      </c>
      <c r="B946" s="12" t="str">
        <f t="shared" si="58"/>
        <v>Jun2025</v>
      </c>
      <c r="C946" s="12" t="str">
        <f t="shared" si="59"/>
        <v>Monday</v>
      </c>
      <c r="D946" s="13">
        <v>45831</v>
      </c>
      <c r="E946" s="14">
        <v>6</v>
      </c>
      <c r="F946" s="12">
        <v>11235835522</v>
      </c>
      <c r="G946" s="14" t="s">
        <v>7</v>
      </c>
      <c r="H946" s="14" t="s">
        <v>21</v>
      </c>
      <c r="I946" s="16" t="s">
        <v>58</v>
      </c>
      <c r="J946" s="14" t="str">
        <f t="shared" ca="1" si="56"/>
        <v>No</v>
      </c>
    </row>
    <row r="947" spans="1:10" x14ac:dyDescent="0.35">
      <c r="A947" s="12">
        <f t="shared" si="57"/>
        <v>26</v>
      </c>
      <c r="B947" s="12" t="str">
        <f t="shared" si="58"/>
        <v>Jun2025</v>
      </c>
      <c r="C947" s="12" t="str">
        <f t="shared" si="59"/>
        <v>Monday</v>
      </c>
      <c r="D947" s="13">
        <v>45831</v>
      </c>
      <c r="E947" s="14">
        <v>7</v>
      </c>
      <c r="F947" s="12">
        <v>11236307892</v>
      </c>
      <c r="G947" s="14" t="s">
        <v>3</v>
      </c>
      <c r="H947" s="14" t="s">
        <v>11</v>
      </c>
      <c r="I947" s="16" t="s">
        <v>19</v>
      </c>
      <c r="J947" s="14" t="str">
        <f t="shared" ca="1" si="56"/>
        <v>Yes</v>
      </c>
    </row>
    <row r="948" spans="1:10" x14ac:dyDescent="0.35">
      <c r="A948" s="12">
        <f t="shared" si="57"/>
        <v>26</v>
      </c>
      <c r="B948" s="12" t="str">
        <f t="shared" si="58"/>
        <v>Jun2025</v>
      </c>
      <c r="C948" s="12" t="str">
        <f t="shared" si="59"/>
        <v>Monday</v>
      </c>
      <c r="D948" s="13">
        <v>45831</v>
      </c>
      <c r="E948" s="14">
        <v>8</v>
      </c>
      <c r="F948" s="12">
        <v>11236520272</v>
      </c>
      <c r="G948" s="14" t="s">
        <v>4</v>
      </c>
      <c r="H948" s="14" t="s">
        <v>61</v>
      </c>
      <c r="I948" s="16" t="s">
        <v>231</v>
      </c>
      <c r="J948" s="14" t="str">
        <f t="shared" ca="1" si="56"/>
        <v>No</v>
      </c>
    </row>
    <row r="949" spans="1:10" x14ac:dyDescent="0.35">
      <c r="A949" s="12">
        <f t="shared" si="57"/>
        <v>26</v>
      </c>
      <c r="B949" s="12" t="str">
        <f t="shared" si="58"/>
        <v>Jun2025</v>
      </c>
      <c r="C949" s="12" t="str">
        <f t="shared" si="59"/>
        <v>Tuesday</v>
      </c>
      <c r="D949" s="13">
        <v>45832</v>
      </c>
      <c r="E949" s="14">
        <v>1</v>
      </c>
      <c r="F949" s="12">
        <v>11239757272</v>
      </c>
      <c r="G949" s="14" t="s">
        <v>4</v>
      </c>
      <c r="H949" s="14" t="s">
        <v>11</v>
      </c>
      <c r="I949" s="16" t="s">
        <v>38</v>
      </c>
      <c r="J949" s="14" t="str">
        <f t="shared" ca="1" si="56"/>
        <v>No</v>
      </c>
    </row>
    <row r="950" spans="1:10" x14ac:dyDescent="0.35">
      <c r="A950" s="12">
        <f t="shared" si="57"/>
        <v>26</v>
      </c>
      <c r="B950" s="12" t="str">
        <f t="shared" si="58"/>
        <v>Jun2025</v>
      </c>
      <c r="C950" s="12" t="str">
        <f t="shared" si="59"/>
        <v>Tuesday</v>
      </c>
      <c r="D950" s="13">
        <v>45832</v>
      </c>
      <c r="E950" s="14">
        <v>2</v>
      </c>
      <c r="F950" s="12">
        <v>11239844472</v>
      </c>
      <c r="G950" s="14" t="s">
        <v>7</v>
      </c>
      <c r="H950" s="14" t="s">
        <v>21</v>
      </c>
      <c r="I950" s="16" t="s">
        <v>58</v>
      </c>
      <c r="J950" s="14" t="str">
        <f t="shared" ca="1" si="56"/>
        <v>No</v>
      </c>
    </row>
    <row r="951" spans="1:10" x14ac:dyDescent="0.35">
      <c r="A951" s="12">
        <f t="shared" si="57"/>
        <v>26</v>
      </c>
      <c r="B951" s="12" t="str">
        <f t="shared" si="58"/>
        <v>Jun2025</v>
      </c>
      <c r="C951" s="12" t="str">
        <f t="shared" si="59"/>
        <v>Tuesday</v>
      </c>
      <c r="D951" s="13">
        <v>45832</v>
      </c>
      <c r="E951" s="14">
        <v>3</v>
      </c>
      <c r="F951" s="12">
        <v>11239705572</v>
      </c>
      <c r="G951" s="14" t="s">
        <v>7</v>
      </c>
      <c r="H951" s="14" t="s">
        <v>21</v>
      </c>
      <c r="I951" s="16" t="s">
        <v>58</v>
      </c>
      <c r="J951" s="14" t="str">
        <f t="shared" ca="1" si="56"/>
        <v>No</v>
      </c>
    </row>
    <row r="952" spans="1:10" x14ac:dyDescent="0.35">
      <c r="A952" s="12">
        <f t="shared" si="57"/>
        <v>26</v>
      </c>
      <c r="B952" s="12" t="str">
        <f t="shared" si="58"/>
        <v>Jun2025</v>
      </c>
      <c r="C952" s="12" t="str">
        <f t="shared" si="59"/>
        <v>Tuesday</v>
      </c>
      <c r="D952" s="13">
        <v>45832</v>
      </c>
      <c r="E952" s="14">
        <v>4</v>
      </c>
      <c r="F952" s="12">
        <v>11239752102</v>
      </c>
      <c r="G952" s="14" t="s">
        <v>4</v>
      </c>
      <c r="H952" s="14" t="s">
        <v>61</v>
      </c>
      <c r="I952" s="16" t="s">
        <v>49</v>
      </c>
      <c r="J952" s="14" t="str">
        <f t="shared" ca="1" si="56"/>
        <v>No</v>
      </c>
    </row>
    <row r="953" spans="1:10" x14ac:dyDescent="0.35">
      <c r="A953" s="12">
        <f t="shared" si="57"/>
        <v>26</v>
      </c>
      <c r="B953" s="12" t="str">
        <f t="shared" si="58"/>
        <v>Jun2025</v>
      </c>
      <c r="C953" s="12" t="str">
        <f t="shared" si="59"/>
        <v>Tuesday</v>
      </c>
      <c r="D953" s="13">
        <v>45832</v>
      </c>
      <c r="E953" s="14">
        <v>5</v>
      </c>
      <c r="F953" s="12">
        <v>11222587392</v>
      </c>
      <c r="G953" s="14" t="s">
        <v>4</v>
      </c>
      <c r="H953" s="14" t="s">
        <v>11</v>
      </c>
      <c r="I953" s="16" t="s">
        <v>15</v>
      </c>
      <c r="J953" s="14" t="str">
        <f t="shared" ca="1" si="56"/>
        <v>No</v>
      </c>
    </row>
    <row r="954" spans="1:10" x14ac:dyDescent="0.35">
      <c r="A954" s="12">
        <f t="shared" si="57"/>
        <v>26</v>
      </c>
      <c r="B954" s="12" t="str">
        <f t="shared" si="58"/>
        <v>Jun2025</v>
      </c>
      <c r="C954" s="12" t="str">
        <f t="shared" si="59"/>
        <v>Tuesday</v>
      </c>
      <c r="D954" s="13">
        <v>45832</v>
      </c>
      <c r="E954" s="14">
        <v>6</v>
      </c>
      <c r="F954" s="12">
        <v>11239772542</v>
      </c>
      <c r="G954" s="14" t="s">
        <v>3</v>
      </c>
      <c r="H954" s="14" t="s">
        <v>11</v>
      </c>
      <c r="I954" s="16" t="s">
        <v>16</v>
      </c>
      <c r="J954" s="14" t="str">
        <f t="shared" ca="1" si="56"/>
        <v>No</v>
      </c>
    </row>
    <row r="955" spans="1:10" x14ac:dyDescent="0.35">
      <c r="A955" s="12">
        <f t="shared" si="57"/>
        <v>26</v>
      </c>
      <c r="B955" s="12" t="str">
        <f t="shared" si="58"/>
        <v>Jun2025</v>
      </c>
      <c r="C955" s="12" t="str">
        <f t="shared" si="59"/>
        <v>Tuesday</v>
      </c>
      <c r="D955" s="13">
        <v>45832</v>
      </c>
      <c r="E955" s="14">
        <v>7</v>
      </c>
      <c r="F955" s="12">
        <v>11240183482</v>
      </c>
      <c r="G955" s="14" t="s">
        <v>7</v>
      </c>
      <c r="H955" s="14" t="s">
        <v>21</v>
      </c>
      <c r="I955" s="16" t="s">
        <v>82</v>
      </c>
      <c r="J955" s="14" t="str">
        <f t="shared" ca="1" si="56"/>
        <v>No</v>
      </c>
    </row>
    <row r="956" spans="1:10" x14ac:dyDescent="0.35">
      <c r="A956" s="12">
        <f t="shared" si="57"/>
        <v>26</v>
      </c>
      <c r="B956" s="12" t="str">
        <f t="shared" si="58"/>
        <v>Jun2025</v>
      </c>
      <c r="C956" s="12" t="str">
        <f t="shared" si="59"/>
        <v>Tuesday</v>
      </c>
      <c r="D956" s="13">
        <v>45832</v>
      </c>
      <c r="E956" s="14">
        <v>8</v>
      </c>
      <c r="F956" s="12">
        <v>11240383412</v>
      </c>
      <c r="G956" s="14" t="s">
        <v>4</v>
      </c>
      <c r="H956" s="14" t="s">
        <v>11</v>
      </c>
      <c r="I956" s="16" t="s">
        <v>74</v>
      </c>
      <c r="J956" s="14" t="str">
        <f t="shared" ca="1" si="56"/>
        <v>No</v>
      </c>
    </row>
    <row r="957" spans="1:10" x14ac:dyDescent="0.35">
      <c r="A957" s="12">
        <f t="shared" si="57"/>
        <v>26</v>
      </c>
      <c r="B957" s="12" t="str">
        <f t="shared" si="58"/>
        <v>Jun2025</v>
      </c>
      <c r="C957" s="12" t="str">
        <f t="shared" si="59"/>
        <v>Tuesday</v>
      </c>
      <c r="D957" s="13">
        <v>45832</v>
      </c>
      <c r="E957" s="14">
        <v>9</v>
      </c>
      <c r="F957" s="12">
        <v>11233541752</v>
      </c>
      <c r="G957" s="14" t="s">
        <v>4</v>
      </c>
      <c r="H957" s="14" t="s">
        <v>11</v>
      </c>
      <c r="I957" s="16" t="s">
        <v>13</v>
      </c>
      <c r="J957" s="14" t="str">
        <f t="shared" ca="1" si="56"/>
        <v>Yes</v>
      </c>
    </row>
    <row r="958" spans="1:10" x14ac:dyDescent="0.35">
      <c r="A958" s="12">
        <f t="shared" si="57"/>
        <v>26</v>
      </c>
      <c r="B958" s="12" t="str">
        <f t="shared" si="58"/>
        <v>Jun2025</v>
      </c>
      <c r="C958" s="12" t="str">
        <f t="shared" si="59"/>
        <v>Tuesday</v>
      </c>
      <c r="D958" s="13">
        <v>45832</v>
      </c>
      <c r="E958" s="14">
        <v>10</v>
      </c>
      <c r="F958" s="12">
        <v>11238399002</v>
      </c>
      <c r="G958" s="14" t="s">
        <v>3</v>
      </c>
      <c r="H958" s="14" t="s">
        <v>11</v>
      </c>
      <c r="I958" s="16" t="s">
        <v>64</v>
      </c>
      <c r="J958" s="14" t="str">
        <f t="shared" ca="1" si="56"/>
        <v>No</v>
      </c>
    </row>
    <row r="959" spans="1:10" x14ac:dyDescent="0.35">
      <c r="A959" s="12">
        <f t="shared" si="57"/>
        <v>26</v>
      </c>
      <c r="B959" s="12" t="str">
        <f t="shared" si="58"/>
        <v>Jun2025</v>
      </c>
      <c r="C959" s="12" t="str">
        <f t="shared" si="59"/>
        <v>Tuesday</v>
      </c>
      <c r="D959" s="13">
        <v>45832</v>
      </c>
      <c r="E959" s="14">
        <v>11</v>
      </c>
      <c r="F959" s="12">
        <v>11240656532</v>
      </c>
      <c r="G959" s="14" t="s">
        <v>5</v>
      </c>
      <c r="H959" s="14" t="s">
        <v>21</v>
      </c>
      <c r="I959" s="16" t="s">
        <v>51</v>
      </c>
      <c r="J959" s="14" t="str">
        <f t="shared" ca="1" si="56"/>
        <v>No</v>
      </c>
    </row>
    <row r="960" spans="1:10" x14ac:dyDescent="0.35">
      <c r="A960" s="12">
        <f t="shared" si="57"/>
        <v>26</v>
      </c>
      <c r="B960" s="12" t="str">
        <f t="shared" si="58"/>
        <v>Jun2025</v>
      </c>
      <c r="C960" s="12" t="str">
        <f t="shared" si="59"/>
        <v>Tuesday</v>
      </c>
      <c r="D960" s="13">
        <v>45832</v>
      </c>
      <c r="E960" s="14">
        <v>12</v>
      </c>
      <c r="F960" s="12">
        <v>11240699962</v>
      </c>
      <c r="G960" s="14" t="s">
        <v>4</v>
      </c>
      <c r="H960" s="14" t="s">
        <v>61</v>
      </c>
      <c r="I960" s="16" t="s">
        <v>186</v>
      </c>
      <c r="J960" s="14" t="str">
        <f t="shared" ca="1" si="56"/>
        <v>No</v>
      </c>
    </row>
    <row r="961" spans="1:10" x14ac:dyDescent="0.35">
      <c r="A961" s="12">
        <f t="shared" si="57"/>
        <v>26</v>
      </c>
      <c r="B961" s="12" t="str">
        <f t="shared" si="58"/>
        <v>Jun2025</v>
      </c>
      <c r="C961" s="12" t="str">
        <f t="shared" si="59"/>
        <v>Tuesday</v>
      </c>
      <c r="D961" s="13">
        <v>45832</v>
      </c>
      <c r="E961" s="14">
        <v>13</v>
      </c>
      <c r="F961" s="12">
        <v>11240927662</v>
      </c>
      <c r="G961" s="14" t="s">
        <v>4</v>
      </c>
      <c r="H961" s="14" t="s">
        <v>11</v>
      </c>
      <c r="I961" s="16" t="s">
        <v>215</v>
      </c>
      <c r="J961" s="14" t="str">
        <f t="shared" ca="1" si="56"/>
        <v>No</v>
      </c>
    </row>
    <row r="962" spans="1:10" x14ac:dyDescent="0.35">
      <c r="A962" s="12">
        <f t="shared" si="57"/>
        <v>26</v>
      </c>
      <c r="B962" s="12" t="str">
        <f t="shared" si="58"/>
        <v>Jun2025</v>
      </c>
      <c r="C962" s="12" t="str">
        <f t="shared" si="59"/>
        <v>Tuesday</v>
      </c>
      <c r="D962" s="13">
        <v>45832</v>
      </c>
      <c r="E962" s="14">
        <v>14</v>
      </c>
      <c r="F962" s="12">
        <v>11240968452</v>
      </c>
      <c r="G962" s="14" t="s">
        <v>4</v>
      </c>
      <c r="H962" s="14" t="s">
        <v>11</v>
      </c>
      <c r="I962" s="16" t="s">
        <v>92</v>
      </c>
      <c r="J962" s="14" t="str">
        <f t="shared" ref="J962:J1025" ca="1" si="60">IF(RAND()&lt;0.2,"Yes","No")</f>
        <v>No</v>
      </c>
    </row>
    <row r="963" spans="1:10" x14ac:dyDescent="0.35">
      <c r="A963" s="12">
        <f t="shared" ref="A963:A1026" si="61">WEEKNUM(D963)</f>
        <v>26</v>
      </c>
      <c r="B963" s="12" t="str">
        <f t="shared" ref="B963:B1026" si="62">TEXT(D963,"MMMYYYY")</f>
        <v>Jun2025</v>
      </c>
      <c r="C963" s="12" t="str">
        <f t="shared" ref="C963:C1026" si="63">TEXT(D963,"dddd")</f>
        <v>Tuesday</v>
      </c>
      <c r="D963" s="13">
        <v>45832</v>
      </c>
      <c r="E963" s="14">
        <v>15</v>
      </c>
      <c r="F963" s="12">
        <v>11239298712</v>
      </c>
      <c r="G963" s="14" t="s">
        <v>5</v>
      </c>
      <c r="H963" s="14" t="s">
        <v>11</v>
      </c>
      <c r="I963" s="16" t="s">
        <v>72</v>
      </c>
      <c r="J963" s="14" t="str">
        <f t="shared" ca="1" si="60"/>
        <v>No</v>
      </c>
    </row>
    <row r="964" spans="1:10" x14ac:dyDescent="0.35">
      <c r="A964" s="12">
        <f t="shared" si="61"/>
        <v>26</v>
      </c>
      <c r="B964" s="12" t="str">
        <f t="shared" si="62"/>
        <v>Jun2025</v>
      </c>
      <c r="C964" s="12" t="str">
        <f t="shared" si="63"/>
        <v>Tuesday</v>
      </c>
      <c r="D964" s="13">
        <v>45832</v>
      </c>
      <c r="E964" s="14">
        <v>16</v>
      </c>
      <c r="F964" s="12">
        <v>11241140862</v>
      </c>
      <c r="G964" s="14" t="s">
        <v>4</v>
      </c>
      <c r="H964" s="14" t="s">
        <v>11</v>
      </c>
      <c r="I964" s="16" t="s">
        <v>189</v>
      </c>
      <c r="J964" s="14" t="str">
        <f t="shared" ca="1" si="60"/>
        <v>No</v>
      </c>
    </row>
    <row r="965" spans="1:10" x14ac:dyDescent="0.35">
      <c r="A965" s="12">
        <f t="shared" si="61"/>
        <v>26</v>
      </c>
      <c r="B965" s="12" t="str">
        <f t="shared" si="62"/>
        <v>Jun2025</v>
      </c>
      <c r="C965" s="12" t="str">
        <f t="shared" si="63"/>
        <v>Tuesday</v>
      </c>
      <c r="D965" s="13">
        <v>45832</v>
      </c>
      <c r="E965" s="14">
        <v>17</v>
      </c>
      <c r="F965" s="12">
        <v>11241112522</v>
      </c>
      <c r="G965" s="14" t="s">
        <v>4</v>
      </c>
      <c r="H965" s="14" t="s">
        <v>11</v>
      </c>
      <c r="I965" s="16" t="s">
        <v>38</v>
      </c>
      <c r="J965" s="14" t="str">
        <f t="shared" ca="1" si="60"/>
        <v>No</v>
      </c>
    </row>
    <row r="966" spans="1:10" x14ac:dyDescent="0.35">
      <c r="A966" s="12">
        <f t="shared" si="61"/>
        <v>26</v>
      </c>
      <c r="B966" s="12" t="str">
        <f t="shared" si="62"/>
        <v>Jun2025</v>
      </c>
      <c r="C966" s="12" t="str">
        <f t="shared" si="63"/>
        <v>Tuesday</v>
      </c>
      <c r="D966" s="13">
        <v>45832</v>
      </c>
      <c r="E966" s="14">
        <v>18</v>
      </c>
      <c r="F966" s="12">
        <v>11241278072</v>
      </c>
      <c r="G966" s="14" t="s">
        <v>5</v>
      </c>
      <c r="H966" s="14" t="s">
        <v>21</v>
      </c>
      <c r="I966" s="16" t="s">
        <v>51</v>
      </c>
      <c r="J966" s="14" t="str">
        <f t="shared" ca="1" si="60"/>
        <v>No</v>
      </c>
    </row>
    <row r="967" spans="1:10" x14ac:dyDescent="0.35">
      <c r="A967" s="12">
        <f t="shared" si="61"/>
        <v>26</v>
      </c>
      <c r="B967" s="12" t="str">
        <f t="shared" si="62"/>
        <v>Jun2025</v>
      </c>
      <c r="C967" s="12" t="str">
        <f t="shared" si="63"/>
        <v>Tuesday</v>
      </c>
      <c r="D967" s="13">
        <v>45832</v>
      </c>
      <c r="E967" s="14">
        <v>19</v>
      </c>
      <c r="F967" s="12">
        <v>11241298122</v>
      </c>
      <c r="G967" s="14" t="s">
        <v>7</v>
      </c>
      <c r="H967" s="14" t="s">
        <v>61</v>
      </c>
      <c r="I967" s="16" t="s">
        <v>21</v>
      </c>
      <c r="J967" s="14" t="str">
        <f t="shared" ca="1" si="60"/>
        <v>No</v>
      </c>
    </row>
    <row r="968" spans="1:10" x14ac:dyDescent="0.35">
      <c r="A968" s="12">
        <f t="shared" si="61"/>
        <v>26</v>
      </c>
      <c r="B968" s="12" t="str">
        <f t="shared" si="62"/>
        <v>Jun2025</v>
      </c>
      <c r="C968" s="12" t="str">
        <f t="shared" si="63"/>
        <v>Tuesday</v>
      </c>
      <c r="D968" s="13">
        <v>45832</v>
      </c>
      <c r="E968" s="14">
        <v>20</v>
      </c>
      <c r="F968" s="12">
        <v>11232460712</v>
      </c>
      <c r="G968" s="14" t="s">
        <v>7</v>
      </c>
      <c r="H968" s="14" t="s">
        <v>21</v>
      </c>
      <c r="I968" s="16" t="s">
        <v>58</v>
      </c>
      <c r="J968" s="14" t="str">
        <f t="shared" ca="1" si="60"/>
        <v>Yes</v>
      </c>
    </row>
    <row r="969" spans="1:10" x14ac:dyDescent="0.35">
      <c r="A969" s="12">
        <f t="shared" si="61"/>
        <v>26</v>
      </c>
      <c r="B969" s="12" t="str">
        <f t="shared" si="62"/>
        <v>Jun2025</v>
      </c>
      <c r="C969" s="12" t="str">
        <f t="shared" si="63"/>
        <v>Tuesday</v>
      </c>
      <c r="D969" s="13">
        <v>45832</v>
      </c>
      <c r="E969" s="14">
        <v>21</v>
      </c>
      <c r="F969" s="12">
        <v>11241347742</v>
      </c>
      <c r="G969" s="14" t="s">
        <v>4</v>
      </c>
      <c r="H969" s="14" t="s">
        <v>11</v>
      </c>
      <c r="I969" s="16" t="s">
        <v>92</v>
      </c>
      <c r="J969" s="14" t="str">
        <f t="shared" ca="1" si="60"/>
        <v>No</v>
      </c>
    </row>
    <row r="970" spans="1:10" x14ac:dyDescent="0.35">
      <c r="A970" s="12">
        <f t="shared" si="61"/>
        <v>26</v>
      </c>
      <c r="B970" s="12" t="str">
        <f t="shared" si="62"/>
        <v>Jun2025</v>
      </c>
      <c r="C970" s="12" t="str">
        <f t="shared" si="63"/>
        <v>Tuesday</v>
      </c>
      <c r="D970" s="13">
        <v>45832</v>
      </c>
      <c r="E970" s="14">
        <v>22</v>
      </c>
      <c r="F970" s="12">
        <v>11241439442</v>
      </c>
      <c r="G970" s="14" t="s">
        <v>3</v>
      </c>
      <c r="H970" s="14" t="s">
        <v>11</v>
      </c>
      <c r="I970" s="16" t="s">
        <v>212</v>
      </c>
      <c r="J970" s="14" t="str">
        <f t="shared" ca="1" si="60"/>
        <v>No</v>
      </c>
    </row>
    <row r="971" spans="1:10" x14ac:dyDescent="0.35">
      <c r="A971" s="12">
        <f t="shared" si="61"/>
        <v>26</v>
      </c>
      <c r="B971" s="12" t="str">
        <f t="shared" si="62"/>
        <v>Jun2025</v>
      </c>
      <c r="C971" s="12" t="str">
        <f t="shared" si="63"/>
        <v>Tuesday</v>
      </c>
      <c r="D971" s="13">
        <v>45832</v>
      </c>
      <c r="E971" s="14">
        <v>23</v>
      </c>
      <c r="F971" s="12">
        <v>11241415032</v>
      </c>
      <c r="G971" s="14" t="s">
        <v>4</v>
      </c>
      <c r="H971" s="14" t="s">
        <v>11</v>
      </c>
      <c r="I971" s="16" t="s">
        <v>22</v>
      </c>
      <c r="J971" s="14" t="str">
        <f t="shared" ca="1" si="60"/>
        <v>No</v>
      </c>
    </row>
    <row r="972" spans="1:10" x14ac:dyDescent="0.35">
      <c r="A972" s="12">
        <f t="shared" si="61"/>
        <v>26</v>
      </c>
      <c r="B972" s="12" t="str">
        <f t="shared" si="62"/>
        <v>Jun2025</v>
      </c>
      <c r="C972" s="12" t="str">
        <f t="shared" si="63"/>
        <v>Tuesday</v>
      </c>
      <c r="D972" s="13">
        <v>45832</v>
      </c>
      <c r="E972" s="14">
        <v>24</v>
      </c>
      <c r="F972" s="12">
        <v>11241604562</v>
      </c>
      <c r="G972" s="14" t="s">
        <v>3</v>
      </c>
      <c r="H972" s="14" t="s">
        <v>11</v>
      </c>
      <c r="I972" s="16" t="s">
        <v>64</v>
      </c>
      <c r="J972" s="14" t="str">
        <f t="shared" ca="1" si="60"/>
        <v>Yes</v>
      </c>
    </row>
    <row r="973" spans="1:10" x14ac:dyDescent="0.35">
      <c r="A973" s="12">
        <f t="shared" si="61"/>
        <v>26</v>
      </c>
      <c r="B973" s="12" t="str">
        <f t="shared" si="62"/>
        <v>Jun2025</v>
      </c>
      <c r="C973" s="12" t="str">
        <f t="shared" si="63"/>
        <v>Tuesday</v>
      </c>
      <c r="D973" s="13">
        <v>45832</v>
      </c>
      <c r="E973" s="14">
        <v>25</v>
      </c>
      <c r="F973" s="12">
        <v>11241648752</v>
      </c>
      <c r="G973" s="14" t="s">
        <v>7</v>
      </c>
      <c r="H973" s="14" t="s">
        <v>61</v>
      </c>
      <c r="I973" s="16" t="s">
        <v>18</v>
      </c>
      <c r="J973" s="14" t="str">
        <f t="shared" ca="1" si="60"/>
        <v>No</v>
      </c>
    </row>
    <row r="974" spans="1:10" x14ac:dyDescent="0.35">
      <c r="A974" s="12">
        <f t="shared" si="61"/>
        <v>26</v>
      </c>
      <c r="B974" s="12" t="str">
        <f t="shared" si="62"/>
        <v>Jun2025</v>
      </c>
      <c r="C974" s="12" t="str">
        <f t="shared" si="63"/>
        <v>Tuesday</v>
      </c>
      <c r="D974" s="13">
        <v>45832</v>
      </c>
      <c r="E974" s="14">
        <v>26</v>
      </c>
      <c r="F974" s="12">
        <v>11241315432</v>
      </c>
      <c r="G974" s="14" t="s">
        <v>4</v>
      </c>
      <c r="H974" s="14" t="s">
        <v>11</v>
      </c>
      <c r="I974" s="16" t="s">
        <v>92</v>
      </c>
      <c r="J974" s="14" t="str">
        <f t="shared" ca="1" si="60"/>
        <v>No</v>
      </c>
    </row>
    <row r="975" spans="1:10" x14ac:dyDescent="0.35">
      <c r="A975" s="12">
        <f t="shared" si="61"/>
        <v>26</v>
      </c>
      <c r="B975" s="12" t="str">
        <f t="shared" si="62"/>
        <v>Jun2025</v>
      </c>
      <c r="C975" s="12" t="str">
        <f t="shared" si="63"/>
        <v>Tuesday</v>
      </c>
      <c r="D975" s="13">
        <v>45832</v>
      </c>
      <c r="E975" s="14">
        <v>27</v>
      </c>
      <c r="F975" s="12">
        <v>11241788212</v>
      </c>
      <c r="G975" s="14" t="s">
        <v>7</v>
      </c>
      <c r="H975" s="14" t="s">
        <v>21</v>
      </c>
      <c r="I975" s="16" t="s">
        <v>58</v>
      </c>
      <c r="J975" s="14" t="str">
        <f t="shared" ca="1" si="60"/>
        <v>Yes</v>
      </c>
    </row>
    <row r="976" spans="1:10" x14ac:dyDescent="0.35">
      <c r="A976" s="12">
        <f t="shared" si="61"/>
        <v>26</v>
      </c>
      <c r="B976" s="12" t="str">
        <f t="shared" si="62"/>
        <v>Jun2025</v>
      </c>
      <c r="C976" s="12" t="str">
        <f t="shared" si="63"/>
        <v>Tuesday</v>
      </c>
      <c r="D976" s="13">
        <v>45832</v>
      </c>
      <c r="E976" s="14">
        <v>28</v>
      </c>
      <c r="F976" s="12">
        <v>11241439442</v>
      </c>
      <c r="G976" s="14" t="s">
        <v>4</v>
      </c>
      <c r="H976" s="14" t="s">
        <v>11</v>
      </c>
      <c r="I976" s="16" t="s">
        <v>212</v>
      </c>
      <c r="J976" s="14" t="str">
        <f t="shared" ca="1" si="60"/>
        <v>No</v>
      </c>
    </row>
    <row r="977" spans="1:10" x14ac:dyDescent="0.35">
      <c r="A977" s="12">
        <f t="shared" si="61"/>
        <v>26</v>
      </c>
      <c r="B977" s="12" t="str">
        <f t="shared" si="62"/>
        <v>Jun2025</v>
      </c>
      <c r="C977" s="12" t="str">
        <f t="shared" si="63"/>
        <v>Tuesday</v>
      </c>
      <c r="D977" s="13">
        <v>45832</v>
      </c>
      <c r="E977" s="14">
        <v>29</v>
      </c>
      <c r="F977" s="12">
        <v>11203309922</v>
      </c>
      <c r="G977" s="14" t="s">
        <v>3</v>
      </c>
      <c r="H977" s="14" t="s">
        <v>11</v>
      </c>
      <c r="I977" s="16" t="s">
        <v>16</v>
      </c>
      <c r="J977" s="14" t="str">
        <f t="shared" ca="1" si="60"/>
        <v>No</v>
      </c>
    </row>
    <row r="978" spans="1:10" x14ac:dyDescent="0.35">
      <c r="A978" s="12">
        <f t="shared" si="61"/>
        <v>26</v>
      </c>
      <c r="B978" s="12" t="str">
        <f t="shared" si="62"/>
        <v>Jun2025</v>
      </c>
      <c r="C978" s="12" t="str">
        <f t="shared" si="63"/>
        <v>Tuesday</v>
      </c>
      <c r="D978" s="13">
        <v>45832</v>
      </c>
      <c r="E978" s="14">
        <v>30</v>
      </c>
      <c r="F978" s="12">
        <v>11225908262</v>
      </c>
      <c r="G978" s="14" t="s">
        <v>3</v>
      </c>
      <c r="H978" s="14" t="s">
        <v>11</v>
      </c>
      <c r="I978" s="16" t="s">
        <v>19</v>
      </c>
      <c r="J978" s="14" t="str">
        <f t="shared" ca="1" si="60"/>
        <v>No</v>
      </c>
    </row>
    <row r="979" spans="1:10" x14ac:dyDescent="0.35">
      <c r="A979" s="12">
        <f t="shared" si="61"/>
        <v>26</v>
      </c>
      <c r="B979" s="12" t="str">
        <f t="shared" si="62"/>
        <v>Jun2025</v>
      </c>
      <c r="C979" s="12" t="str">
        <f t="shared" si="63"/>
        <v>Wednesday</v>
      </c>
      <c r="D979" s="13">
        <v>45833</v>
      </c>
      <c r="E979" s="14">
        <v>1</v>
      </c>
      <c r="F979" s="12">
        <v>11222587392</v>
      </c>
      <c r="G979" s="14" t="s">
        <v>4</v>
      </c>
      <c r="H979" s="14" t="s">
        <v>11</v>
      </c>
      <c r="I979" s="16" t="s">
        <v>15</v>
      </c>
      <c r="J979" s="14" t="str">
        <f t="shared" ca="1" si="60"/>
        <v>No</v>
      </c>
    </row>
    <row r="980" spans="1:10" x14ac:dyDescent="0.35">
      <c r="A980" s="12">
        <f t="shared" si="61"/>
        <v>26</v>
      </c>
      <c r="B980" s="12" t="str">
        <f t="shared" si="62"/>
        <v>Jun2025</v>
      </c>
      <c r="C980" s="12" t="str">
        <f t="shared" si="63"/>
        <v>Wednesday</v>
      </c>
      <c r="D980" s="13">
        <v>45833</v>
      </c>
      <c r="E980" s="14">
        <v>2</v>
      </c>
      <c r="F980" s="12">
        <v>11243275812</v>
      </c>
      <c r="G980" s="14" t="s">
        <v>4</v>
      </c>
      <c r="H980" s="14" t="s">
        <v>11</v>
      </c>
      <c r="I980" s="16" t="s">
        <v>109</v>
      </c>
      <c r="J980" s="14" t="str">
        <f t="shared" ca="1" si="60"/>
        <v>No</v>
      </c>
    </row>
    <row r="981" spans="1:10" x14ac:dyDescent="0.35">
      <c r="A981" s="12">
        <f t="shared" si="61"/>
        <v>26</v>
      </c>
      <c r="B981" s="12" t="str">
        <f t="shared" si="62"/>
        <v>Jun2025</v>
      </c>
      <c r="C981" s="12" t="str">
        <f t="shared" si="63"/>
        <v>Wednesday</v>
      </c>
      <c r="D981" s="13">
        <v>45833</v>
      </c>
      <c r="E981" s="14">
        <v>3</v>
      </c>
      <c r="F981" s="12">
        <v>11243487262</v>
      </c>
      <c r="G981" s="14" t="s">
        <v>4</v>
      </c>
      <c r="H981" s="14" t="s">
        <v>21</v>
      </c>
      <c r="I981" s="16" t="s">
        <v>24</v>
      </c>
      <c r="J981" s="14" t="str">
        <f t="shared" ca="1" si="60"/>
        <v>Yes</v>
      </c>
    </row>
    <row r="982" spans="1:10" x14ac:dyDescent="0.35">
      <c r="A982" s="12">
        <f t="shared" si="61"/>
        <v>26</v>
      </c>
      <c r="B982" s="12" t="str">
        <f t="shared" si="62"/>
        <v>Jun2025</v>
      </c>
      <c r="C982" s="12" t="str">
        <f t="shared" si="63"/>
        <v>Wednesday</v>
      </c>
      <c r="D982" s="13">
        <v>45833</v>
      </c>
      <c r="E982" s="14">
        <v>4</v>
      </c>
      <c r="F982" s="12">
        <v>11243527462</v>
      </c>
      <c r="G982" s="14" t="s">
        <v>7</v>
      </c>
      <c r="H982" s="14" t="s">
        <v>61</v>
      </c>
      <c r="I982" s="16" t="s">
        <v>47</v>
      </c>
      <c r="J982" s="14" t="str">
        <f t="shared" ca="1" si="60"/>
        <v>No</v>
      </c>
    </row>
    <row r="983" spans="1:10" x14ac:dyDescent="0.35">
      <c r="A983" s="12">
        <f t="shared" si="61"/>
        <v>26</v>
      </c>
      <c r="B983" s="12" t="str">
        <f t="shared" si="62"/>
        <v>Jun2025</v>
      </c>
      <c r="C983" s="12" t="str">
        <f t="shared" si="63"/>
        <v>Wednesday</v>
      </c>
      <c r="D983" s="13">
        <v>45833</v>
      </c>
      <c r="E983" s="14">
        <v>5</v>
      </c>
      <c r="F983" s="12">
        <v>11243645812</v>
      </c>
      <c r="G983" s="14" t="s">
        <v>4</v>
      </c>
      <c r="H983" s="14" t="s">
        <v>11</v>
      </c>
      <c r="I983" s="16" t="s">
        <v>232</v>
      </c>
      <c r="J983" s="14" t="str">
        <f t="shared" ca="1" si="60"/>
        <v>No</v>
      </c>
    </row>
    <row r="984" spans="1:10" x14ac:dyDescent="0.35">
      <c r="A984" s="12">
        <f t="shared" si="61"/>
        <v>26</v>
      </c>
      <c r="B984" s="12" t="str">
        <f t="shared" si="62"/>
        <v>Jun2025</v>
      </c>
      <c r="C984" s="12" t="str">
        <f t="shared" si="63"/>
        <v>Wednesday</v>
      </c>
      <c r="D984" s="13">
        <v>45833</v>
      </c>
      <c r="E984" s="14">
        <v>6</v>
      </c>
      <c r="F984" s="12">
        <v>11243658672</v>
      </c>
      <c r="G984" s="14" t="s">
        <v>4</v>
      </c>
      <c r="H984" s="14" t="s">
        <v>11</v>
      </c>
      <c r="I984" s="16" t="s">
        <v>189</v>
      </c>
      <c r="J984" s="14" t="str">
        <f t="shared" ca="1" si="60"/>
        <v>No</v>
      </c>
    </row>
    <row r="985" spans="1:10" x14ac:dyDescent="0.35">
      <c r="A985" s="12">
        <f t="shared" si="61"/>
        <v>26</v>
      </c>
      <c r="B985" s="12" t="str">
        <f t="shared" si="62"/>
        <v>Jun2025</v>
      </c>
      <c r="C985" s="12" t="str">
        <f t="shared" si="63"/>
        <v>Wednesday</v>
      </c>
      <c r="D985" s="13">
        <v>45833</v>
      </c>
      <c r="E985" s="14">
        <v>7</v>
      </c>
      <c r="F985" s="12">
        <v>11243830482</v>
      </c>
      <c r="G985" s="14" t="s">
        <v>4</v>
      </c>
      <c r="H985" s="14" t="s">
        <v>11</v>
      </c>
      <c r="I985" s="16" t="s">
        <v>48</v>
      </c>
      <c r="J985" s="14" t="str">
        <f t="shared" ca="1" si="60"/>
        <v>No</v>
      </c>
    </row>
    <row r="986" spans="1:10" x14ac:dyDescent="0.35">
      <c r="A986" s="12">
        <f t="shared" si="61"/>
        <v>26</v>
      </c>
      <c r="B986" s="12" t="str">
        <f t="shared" si="62"/>
        <v>Jun2025</v>
      </c>
      <c r="C986" s="12" t="str">
        <f t="shared" si="63"/>
        <v>Wednesday</v>
      </c>
      <c r="D986" s="13">
        <v>45833</v>
      </c>
      <c r="E986" s="14">
        <v>8</v>
      </c>
      <c r="F986" s="12">
        <v>11244006152</v>
      </c>
      <c r="G986" s="14" t="s">
        <v>4</v>
      </c>
      <c r="H986" s="14" t="s">
        <v>61</v>
      </c>
      <c r="I986" s="16" t="s">
        <v>14</v>
      </c>
      <c r="J986" s="14" t="str">
        <f t="shared" ca="1" si="60"/>
        <v>No</v>
      </c>
    </row>
    <row r="987" spans="1:10" x14ac:dyDescent="0.35">
      <c r="A987" s="12">
        <f t="shared" si="61"/>
        <v>26</v>
      </c>
      <c r="B987" s="12" t="str">
        <f t="shared" si="62"/>
        <v>Jun2025</v>
      </c>
      <c r="C987" s="12" t="str">
        <f t="shared" si="63"/>
        <v>Wednesday</v>
      </c>
      <c r="D987" s="13">
        <v>45833</v>
      </c>
      <c r="E987" s="14">
        <v>9</v>
      </c>
      <c r="F987" s="12">
        <v>11243942092</v>
      </c>
      <c r="G987" s="14" t="s">
        <v>3</v>
      </c>
      <c r="H987" s="14" t="s">
        <v>61</v>
      </c>
      <c r="I987" s="16" t="s">
        <v>87</v>
      </c>
      <c r="J987" s="14" t="str">
        <f t="shared" ca="1" si="60"/>
        <v>No</v>
      </c>
    </row>
    <row r="988" spans="1:10" x14ac:dyDescent="0.35">
      <c r="A988" s="12">
        <f t="shared" si="61"/>
        <v>26</v>
      </c>
      <c r="B988" s="12" t="str">
        <f t="shared" si="62"/>
        <v>Jun2025</v>
      </c>
      <c r="C988" s="12" t="str">
        <f t="shared" si="63"/>
        <v>Wednesday</v>
      </c>
      <c r="D988" s="13">
        <v>45833</v>
      </c>
      <c r="E988" s="14">
        <v>10</v>
      </c>
      <c r="F988" s="12">
        <v>11244006082</v>
      </c>
      <c r="G988" s="14" t="s">
        <v>4</v>
      </c>
      <c r="H988" s="14" t="s">
        <v>61</v>
      </c>
      <c r="I988" s="16" t="s">
        <v>122</v>
      </c>
      <c r="J988" s="14" t="str">
        <f t="shared" ca="1" si="60"/>
        <v>No</v>
      </c>
    </row>
    <row r="989" spans="1:10" x14ac:dyDescent="0.35">
      <c r="A989" s="12">
        <f t="shared" si="61"/>
        <v>26</v>
      </c>
      <c r="B989" s="12" t="str">
        <f t="shared" si="62"/>
        <v>Jun2025</v>
      </c>
      <c r="C989" s="12" t="str">
        <f t="shared" si="63"/>
        <v>Wednesday</v>
      </c>
      <c r="D989" s="13">
        <v>45833</v>
      </c>
      <c r="E989" s="14">
        <v>11</v>
      </c>
      <c r="F989" s="12">
        <v>11240656532</v>
      </c>
      <c r="G989" s="14" t="s">
        <v>4</v>
      </c>
      <c r="H989" s="14" t="s">
        <v>21</v>
      </c>
      <c r="I989" s="16" t="s">
        <v>33</v>
      </c>
      <c r="J989" s="14" t="str">
        <f t="shared" ca="1" si="60"/>
        <v>No</v>
      </c>
    </row>
    <row r="990" spans="1:10" s="1" customFormat="1" ht="14.5" customHeight="1" x14ac:dyDescent="0.35">
      <c r="A990" s="12">
        <f t="shared" si="61"/>
        <v>26</v>
      </c>
      <c r="B990" s="12" t="str">
        <f t="shared" si="62"/>
        <v>Jun2025</v>
      </c>
      <c r="C990" s="12" t="str">
        <f t="shared" si="63"/>
        <v>Wednesday</v>
      </c>
      <c r="D990" s="13">
        <v>45833</v>
      </c>
      <c r="E990" s="18">
        <v>12</v>
      </c>
      <c r="F990" s="19">
        <v>11244151172</v>
      </c>
      <c r="G990" s="18" t="s">
        <v>7</v>
      </c>
      <c r="H990" s="18" t="s">
        <v>61</v>
      </c>
      <c r="I990" s="17" t="s">
        <v>205</v>
      </c>
      <c r="J990" s="14" t="str">
        <f t="shared" ca="1" si="60"/>
        <v>No</v>
      </c>
    </row>
    <row r="991" spans="1:10" x14ac:dyDescent="0.35">
      <c r="A991" s="12">
        <f t="shared" si="61"/>
        <v>26</v>
      </c>
      <c r="B991" s="12" t="str">
        <f t="shared" si="62"/>
        <v>Jun2025</v>
      </c>
      <c r="C991" s="12" t="str">
        <f t="shared" si="63"/>
        <v>Wednesday</v>
      </c>
      <c r="D991" s="13">
        <v>45833</v>
      </c>
      <c r="E991" s="14">
        <v>13</v>
      </c>
      <c r="F991" s="12">
        <v>11235044832</v>
      </c>
      <c r="G991" s="14" t="s">
        <v>4</v>
      </c>
      <c r="H991" s="14" t="s">
        <v>11</v>
      </c>
      <c r="I991" s="16" t="s">
        <v>19</v>
      </c>
      <c r="J991" s="14" t="str">
        <f t="shared" ca="1" si="60"/>
        <v>No</v>
      </c>
    </row>
    <row r="992" spans="1:10" x14ac:dyDescent="0.35">
      <c r="A992" s="12">
        <f t="shared" si="61"/>
        <v>26</v>
      </c>
      <c r="B992" s="12" t="str">
        <f t="shared" si="62"/>
        <v>Jun2025</v>
      </c>
      <c r="C992" s="12" t="str">
        <f t="shared" si="63"/>
        <v>Wednesday</v>
      </c>
      <c r="D992" s="13">
        <v>45833</v>
      </c>
      <c r="E992" s="14">
        <v>14</v>
      </c>
      <c r="F992" s="12">
        <v>11244163232</v>
      </c>
      <c r="G992" s="14" t="s">
        <v>7</v>
      </c>
      <c r="H992" s="14" t="s">
        <v>21</v>
      </c>
      <c r="I992" s="16" t="s">
        <v>58</v>
      </c>
      <c r="J992" s="14" t="str">
        <f t="shared" ca="1" si="60"/>
        <v>No</v>
      </c>
    </row>
    <row r="993" spans="1:10" x14ac:dyDescent="0.35">
      <c r="A993" s="12">
        <f t="shared" si="61"/>
        <v>26</v>
      </c>
      <c r="B993" s="12" t="str">
        <f t="shared" si="62"/>
        <v>Jun2025</v>
      </c>
      <c r="C993" s="12" t="str">
        <f t="shared" si="63"/>
        <v>Wednesday</v>
      </c>
      <c r="D993" s="13">
        <v>45833</v>
      </c>
      <c r="E993" s="14">
        <v>15</v>
      </c>
      <c r="F993" s="12">
        <v>11230643782</v>
      </c>
      <c r="G993" s="14" t="s">
        <v>7</v>
      </c>
      <c r="H993" s="14" t="s">
        <v>11</v>
      </c>
      <c r="I993" s="16" t="s">
        <v>82</v>
      </c>
      <c r="J993" s="14" t="str">
        <f t="shared" ca="1" si="60"/>
        <v>No</v>
      </c>
    </row>
    <row r="994" spans="1:10" x14ac:dyDescent="0.35">
      <c r="A994" s="12">
        <f t="shared" si="61"/>
        <v>26</v>
      </c>
      <c r="B994" s="12" t="str">
        <f t="shared" si="62"/>
        <v>Jun2025</v>
      </c>
      <c r="C994" s="12" t="str">
        <f t="shared" si="63"/>
        <v>Wednesday</v>
      </c>
      <c r="D994" s="13">
        <v>45833</v>
      </c>
      <c r="E994" s="14">
        <v>16</v>
      </c>
      <c r="F994" s="12">
        <v>11244225792</v>
      </c>
      <c r="G994" s="14" t="s">
        <v>4</v>
      </c>
      <c r="H994" s="14" t="s">
        <v>11</v>
      </c>
      <c r="I994" s="16" t="s">
        <v>233</v>
      </c>
      <c r="J994" s="14" t="str">
        <f t="shared" ca="1" si="60"/>
        <v>No</v>
      </c>
    </row>
    <row r="995" spans="1:10" x14ac:dyDescent="0.35">
      <c r="A995" s="12">
        <f t="shared" si="61"/>
        <v>26</v>
      </c>
      <c r="B995" s="12" t="str">
        <f t="shared" si="62"/>
        <v>Jun2025</v>
      </c>
      <c r="C995" s="12" t="str">
        <f t="shared" si="63"/>
        <v>Wednesday</v>
      </c>
      <c r="D995" s="13">
        <v>45833</v>
      </c>
      <c r="E995" s="14">
        <v>17</v>
      </c>
      <c r="F995" s="12">
        <v>11244282932</v>
      </c>
      <c r="G995" s="14" t="s">
        <v>4</v>
      </c>
      <c r="H995" s="14" t="s">
        <v>21</v>
      </c>
      <c r="I995" s="16" t="s">
        <v>33</v>
      </c>
      <c r="J995" s="14" t="str">
        <f t="shared" ca="1" si="60"/>
        <v>No</v>
      </c>
    </row>
    <row r="996" spans="1:10" x14ac:dyDescent="0.35">
      <c r="A996" s="12">
        <f t="shared" si="61"/>
        <v>26</v>
      </c>
      <c r="B996" s="12" t="str">
        <f t="shared" si="62"/>
        <v>Jun2025</v>
      </c>
      <c r="C996" s="12" t="str">
        <f t="shared" si="63"/>
        <v>Wednesday</v>
      </c>
      <c r="D996" s="13">
        <v>45833</v>
      </c>
      <c r="E996" s="14">
        <v>18</v>
      </c>
      <c r="F996" s="12">
        <v>11203387942</v>
      </c>
      <c r="G996" s="14" t="s">
        <v>5</v>
      </c>
      <c r="H996" s="14" t="s">
        <v>11</v>
      </c>
      <c r="I996" s="16" t="s">
        <v>46</v>
      </c>
      <c r="J996" s="14" t="str">
        <f t="shared" ca="1" si="60"/>
        <v>No</v>
      </c>
    </row>
    <row r="997" spans="1:10" x14ac:dyDescent="0.35">
      <c r="A997" s="12">
        <f t="shared" si="61"/>
        <v>26</v>
      </c>
      <c r="B997" s="12" t="str">
        <f t="shared" si="62"/>
        <v>Jun2025</v>
      </c>
      <c r="C997" s="12" t="str">
        <f t="shared" si="63"/>
        <v>Wednesday</v>
      </c>
      <c r="D997" s="13">
        <v>45833</v>
      </c>
      <c r="E997" s="14">
        <v>19</v>
      </c>
      <c r="F997" s="12">
        <v>11244599302</v>
      </c>
      <c r="G997" s="14" t="s">
        <v>4</v>
      </c>
      <c r="H997" s="14" t="s">
        <v>61</v>
      </c>
      <c r="I997" s="16" t="s">
        <v>96</v>
      </c>
      <c r="J997" s="14" t="str">
        <f t="shared" ca="1" si="60"/>
        <v>No</v>
      </c>
    </row>
    <row r="998" spans="1:10" x14ac:dyDescent="0.35">
      <c r="A998" s="12">
        <f t="shared" si="61"/>
        <v>26</v>
      </c>
      <c r="B998" s="12" t="str">
        <f t="shared" si="62"/>
        <v>Jun2025</v>
      </c>
      <c r="C998" s="12" t="str">
        <f t="shared" si="63"/>
        <v>Wednesday</v>
      </c>
      <c r="D998" s="13">
        <v>45833</v>
      </c>
      <c r="E998" s="14">
        <v>20</v>
      </c>
      <c r="F998" s="12">
        <v>11236612262</v>
      </c>
      <c r="G998" s="14" t="s">
        <v>4</v>
      </c>
      <c r="H998" s="14" t="s">
        <v>21</v>
      </c>
      <c r="I998" s="16" t="s">
        <v>24</v>
      </c>
      <c r="J998" s="14" t="str">
        <f t="shared" ca="1" si="60"/>
        <v>No</v>
      </c>
    </row>
    <row r="999" spans="1:10" x14ac:dyDescent="0.35">
      <c r="A999" s="12">
        <f t="shared" si="61"/>
        <v>26</v>
      </c>
      <c r="B999" s="12" t="str">
        <f t="shared" si="62"/>
        <v>Jun2025</v>
      </c>
      <c r="C999" s="12" t="str">
        <f t="shared" si="63"/>
        <v>Wednesday</v>
      </c>
      <c r="D999" s="13">
        <v>45833</v>
      </c>
      <c r="E999" s="14">
        <v>21</v>
      </c>
      <c r="F999" s="12">
        <v>11244437302</v>
      </c>
      <c r="G999" s="14" t="s">
        <v>4</v>
      </c>
      <c r="H999" s="14" t="s">
        <v>21</v>
      </c>
      <c r="I999" s="16" t="s">
        <v>86</v>
      </c>
      <c r="J999" s="14" t="str">
        <f t="shared" ca="1" si="60"/>
        <v>No</v>
      </c>
    </row>
    <row r="1000" spans="1:10" x14ac:dyDescent="0.35">
      <c r="A1000" s="12">
        <f t="shared" si="61"/>
        <v>26</v>
      </c>
      <c r="B1000" s="12" t="str">
        <f t="shared" si="62"/>
        <v>Jun2025</v>
      </c>
      <c r="C1000" s="12" t="str">
        <f t="shared" si="63"/>
        <v>Wednesday</v>
      </c>
      <c r="D1000" s="13">
        <v>45833</v>
      </c>
      <c r="E1000" s="14">
        <v>22</v>
      </c>
      <c r="F1000" s="12">
        <v>11244777262</v>
      </c>
      <c r="G1000" s="14" t="s">
        <v>4</v>
      </c>
      <c r="H1000" s="14" t="s">
        <v>11</v>
      </c>
      <c r="I1000" s="16" t="s">
        <v>138</v>
      </c>
      <c r="J1000" s="14" t="str">
        <f t="shared" ca="1" si="60"/>
        <v>Yes</v>
      </c>
    </row>
    <row r="1001" spans="1:10" x14ac:dyDescent="0.35">
      <c r="A1001" s="12">
        <f t="shared" si="61"/>
        <v>26</v>
      </c>
      <c r="B1001" s="12" t="str">
        <f t="shared" si="62"/>
        <v>Jun2025</v>
      </c>
      <c r="C1001" s="12" t="str">
        <f t="shared" si="63"/>
        <v>Wednesday</v>
      </c>
      <c r="D1001" s="13">
        <v>45833</v>
      </c>
      <c r="E1001" s="14">
        <v>23</v>
      </c>
      <c r="F1001" s="12">
        <v>11244810752</v>
      </c>
      <c r="G1001" s="14" t="s">
        <v>7</v>
      </c>
      <c r="H1001" s="14" t="s">
        <v>21</v>
      </c>
      <c r="I1001" s="16" t="s">
        <v>58</v>
      </c>
      <c r="J1001" s="14" t="str">
        <f t="shared" ca="1" si="60"/>
        <v>No</v>
      </c>
    </row>
    <row r="1002" spans="1:10" x14ac:dyDescent="0.35">
      <c r="A1002" s="12">
        <f t="shared" si="61"/>
        <v>26</v>
      </c>
      <c r="B1002" s="12" t="str">
        <f t="shared" si="62"/>
        <v>Jun2025</v>
      </c>
      <c r="C1002" s="12" t="str">
        <f t="shared" si="63"/>
        <v>Wednesday</v>
      </c>
      <c r="D1002" s="13">
        <v>45833</v>
      </c>
      <c r="E1002" s="14">
        <v>24</v>
      </c>
      <c r="F1002" s="12">
        <v>11200052862</v>
      </c>
      <c r="G1002" s="14" t="s">
        <v>5</v>
      </c>
      <c r="H1002" s="14" t="s">
        <v>21</v>
      </c>
      <c r="I1002" s="16" t="s">
        <v>70</v>
      </c>
      <c r="J1002" s="14" t="str">
        <f t="shared" ca="1" si="60"/>
        <v>No</v>
      </c>
    </row>
    <row r="1003" spans="1:10" x14ac:dyDescent="0.35">
      <c r="A1003" s="12">
        <f t="shared" si="61"/>
        <v>26</v>
      </c>
      <c r="B1003" s="12" t="str">
        <f t="shared" si="62"/>
        <v>Jun2025</v>
      </c>
      <c r="C1003" s="12" t="str">
        <f t="shared" si="63"/>
        <v>Wednesday</v>
      </c>
      <c r="D1003" s="13">
        <v>45833</v>
      </c>
      <c r="E1003" s="14">
        <v>25</v>
      </c>
      <c r="F1003" s="12">
        <v>11244933402</v>
      </c>
      <c r="G1003" s="14" t="s">
        <v>4</v>
      </c>
      <c r="H1003" s="14" t="s">
        <v>61</v>
      </c>
      <c r="I1003" s="16" t="s">
        <v>234</v>
      </c>
      <c r="J1003" s="14" t="str">
        <f t="shared" ca="1" si="60"/>
        <v>No</v>
      </c>
    </row>
    <row r="1004" spans="1:10" x14ac:dyDescent="0.35">
      <c r="A1004" s="12">
        <f t="shared" si="61"/>
        <v>26</v>
      </c>
      <c r="B1004" s="12" t="str">
        <f t="shared" si="62"/>
        <v>Jun2025</v>
      </c>
      <c r="C1004" s="12" t="str">
        <f t="shared" si="63"/>
        <v>Wednesday</v>
      </c>
      <c r="D1004" s="13">
        <v>45833</v>
      </c>
      <c r="E1004" s="14">
        <v>26</v>
      </c>
      <c r="F1004" s="12">
        <v>11242956662</v>
      </c>
      <c r="G1004" s="14" t="s">
        <v>4</v>
      </c>
      <c r="H1004" s="14" t="s">
        <v>11</v>
      </c>
      <c r="I1004" s="16" t="s">
        <v>64</v>
      </c>
      <c r="J1004" s="14" t="str">
        <f t="shared" ca="1" si="60"/>
        <v>No</v>
      </c>
    </row>
    <row r="1005" spans="1:10" x14ac:dyDescent="0.35">
      <c r="A1005" s="12">
        <f t="shared" si="61"/>
        <v>26</v>
      </c>
      <c r="B1005" s="12" t="str">
        <f t="shared" si="62"/>
        <v>Jun2025</v>
      </c>
      <c r="C1005" s="12" t="str">
        <f t="shared" si="63"/>
        <v>Wednesday</v>
      </c>
      <c r="D1005" s="13">
        <v>45833</v>
      </c>
      <c r="E1005" s="14">
        <v>27</v>
      </c>
      <c r="F1005" s="12">
        <v>11245030442</v>
      </c>
      <c r="G1005" s="14" t="s">
        <v>4</v>
      </c>
      <c r="H1005" s="14" t="s">
        <v>61</v>
      </c>
      <c r="I1005" s="16" t="s">
        <v>91</v>
      </c>
      <c r="J1005" s="14" t="str">
        <f t="shared" ca="1" si="60"/>
        <v>No</v>
      </c>
    </row>
    <row r="1006" spans="1:10" x14ac:dyDescent="0.35">
      <c r="A1006" s="12">
        <f t="shared" si="61"/>
        <v>26</v>
      </c>
      <c r="B1006" s="12" t="str">
        <f t="shared" si="62"/>
        <v>Jun2025</v>
      </c>
      <c r="C1006" s="12" t="str">
        <f t="shared" si="63"/>
        <v>Wednesday</v>
      </c>
      <c r="D1006" s="13">
        <v>45833</v>
      </c>
      <c r="E1006" s="14">
        <v>28</v>
      </c>
      <c r="F1006" s="12">
        <v>11245090652</v>
      </c>
      <c r="G1006" s="14" t="s">
        <v>4</v>
      </c>
      <c r="H1006" s="14" t="s">
        <v>11</v>
      </c>
      <c r="I1006" s="16" t="s">
        <v>232</v>
      </c>
      <c r="J1006" s="14" t="str">
        <f t="shared" ca="1" si="60"/>
        <v>No</v>
      </c>
    </row>
    <row r="1007" spans="1:10" x14ac:dyDescent="0.35">
      <c r="A1007" s="12">
        <f t="shared" si="61"/>
        <v>26</v>
      </c>
      <c r="B1007" s="12" t="str">
        <f t="shared" si="62"/>
        <v>Jun2025</v>
      </c>
      <c r="C1007" s="12" t="str">
        <f t="shared" si="63"/>
        <v>Wednesday</v>
      </c>
      <c r="D1007" s="13">
        <v>45833</v>
      </c>
      <c r="E1007" s="14">
        <v>29</v>
      </c>
      <c r="F1007" s="12">
        <v>11178857832</v>
      </c>
      <c r="G1007" s="14" t="s">
        <v>3</v>
      </c>
      <c r="H1007" s="14" t="s">
        <v>11</v>
      </c>
      <c r="I1007" s="16" t="s">
        <v>16</v>
      </c>
      <c r="J1007" s="14" t="str">
        <f t="shared" ca="1" si="60"/>
        <v>No</v>
      </c>
    </row>
    <row r="1008" spans="1:10" x14ac:dyDescent="0.35">
      <c r="A1008" s="12">
        <f t="shared" si="61"/>
        <v>26</v>
      </c>
      <c r="B1008" s="12" t="str">
        <f t="shared" si="62"/>
        <v>Jun2025</v>
      </c>
      <c r="C1008" s="12" t="str">
        <f t="shared" si="63"/>
        <v>Wednesday</v>
      </c>
      <c r="D1008" s="13">
        <v>45833</v>
      </c>
      <c r="E1008" s="14">
        <v>30</v>
      </c>
      <c r="F1008" s="12">
        <v>11245254792</v>
      </c>
      <c r="G1008" s="14" t="s">
        <v>4</v>
      </c>
      <c r="H1008" s="14" t="s">
        <v>61</v>
      </c>
      <c r="I1008" s="16" t="s">
        <v>51</v>
      </c>
      <c r="J1008" s="14" t="str">
        <f t="shared" ca="1" si="60"/>
        <v>Yes</v>
      </c>
    </row>
    <row r="1009" spans="1:10" x14ac:dyDescent="0.35">
      <c r="A1009" s="12">
        <f t="shared" si="61"/>
        <v>26</v>
      </c>
      <c r="B1009" s="12" t="str">
        <f t="shared" si="62"/>
        <v>Jun2025</v>
      </c>
      <c r="C1009" s="12" t="str">
        <f t="shared" si="63"/>
        <v>Wednesday</v>
      </c>
      <c r="D1009" s="13">
        <v>45833</v>
      </c>
      <c r="E1009" s="14">
        <v>31</v>
      </c>
      <c r="F1009" s="12">
        <v>11240699872</v>
      </c>
      <c r="G1009" s="14" t="s">
        <v>7</v>
      </c>
      <c r="H1009" s="14" t="s">
        <v>11</v>
      </c>
      <c r="I1009" s="16" t="s">
        <v>209</v>
      </c>
      <c r="J1009" s="14" t="str">
        <f t="shared" ca="1" si="60"/>
        <v>No</v>
      </c>
    </row>
    <row r="1010" spans="1:10" x14ac:dyDescent="0.35">
      <c r="A1010" s="12">
        <f t="shared" si="61"/>
        <v>26</v>
      </c>
      <c r="B1010" s="12" t="str">
        <f t="shared" si="62"/>
        <v>Jun2025</v>
      </c>
      <c r="C1010" s="12" t="str">
        <f t="shared" si="63"/>
        <v>Thursday</v>
      </c>
      <c r="D1010" s="13">
        <v>45834</v>
      </c>
      <c r="E1010" s="14">
        <v>1</v>
      </c>
      <c r="F1010" s="12">
        <v>11231450942</v>
      </c>
      <c r="G1010" s="14" t="s">
        <v>5</v>
      </c>
      <c r="H1010" s="14" t="s">
        <v>21</v>
      </c>
      <c r="I1010" s="16" t="s">
        <v>70</v>
      </c>
      <c r="J1010" s="14" t="str">
        <f t="shared" ca="1" si="60"/>
        <v>Yes</v>
      </c>
    </row>
    <row r="1011" spans="1:10" x14ac:dyDescent="0.35">
      <c r="A1011" s="12">
        <f t="shared" si="61"/>
        <v>26</v>
      </c>
      <c r="B1011" s="12" t="str">
        <f t="shared" si="62"/>
        <v>Jun2025</v>
      </c>
      <c r="C1011" s="12" t="str">
        <f t="shared" si="63"/>
        <v>Thursday</v>
      </c>
      <c r="D1011" s="13">
        <v>45834</v>
      </c>
      <c r="E1011" s="14">
        <v>2</v>
      </c>
      <c r="F1011" s="12">
        <v>11244188292</v>
      </c>
      <c r="G1011" s="14" t="s">
        <v>7</v>
      </c>
      <c r="H1011" s="14" t="s">
        <v>21</v>
      </c>
      <c r="I1011" s="16" t="s">
        <v>58</v>
      </c>
      <c r="J1011" s="14" t="str">
        <f t="shared" ca="1" si="60"/>
        <v>No</v>
      </c>
    </row>
    <row r="1012" spans="1:10" x14ac:dyDescent="0.35">
      <c r="A1012" s="12">
        <f t="shared" si="61"/>
        <v>26</v>
      </c>
      <c r="B1012" s="12" t="str">
        <f t="shared" si="62"/>
        <v>Jun2025</v>
      </c>
      <c r="C1012" s="12" t="str">
        <f t="shared" si="63"/>
        <v>Thursday</v>
      </c>
      <c r="D1012" s="13">
        <v>45834</v>
      </c>
      <c r="E1012" s="14">
        <v>3</v>
      </c>
      <c r="F1012" s="12">
        <v>11246605382</v>
      </c>
      <c r="G1012" s="14" t="s">
        <v>4</v>
      </c>
      <c r="H1012" s="14" t="s">
        <v>11</v>
      </c>
      <c r="I1012" s="16" t="s">
        <v>92</v>
      </c>
      <c r="J1012" s="14" t="str">
        <f t="shared" ca="1" si="60"/>
        <v>Yes</v>
      </c>
    </row>
    <row r="1013" spans="1:10" x14ac:dyDescent="0.35">
      <c r="A1013" s="12">
        <f t="shared" si="61"/>
        <v>26</v>
      </c>
      <c r="B1013" s="12" t="str">
        <f t="shared" si="62"/>
        <v>Jun2025</v>
      </c>
      <c r="C1013" s="12" t="str">
        <f t="shared" si="63"/>
        <v>Thursday</v>
      </c>
      <c r="D1013" s="13">
        <v>45834</v>
      </c>
      <c r="E1013" s="14">
        <v>4</v>
      </c>
      <c r="F1013" s="12">
        <v>11203387942</v>
      </c>
      <c r="G1013" s="14" t="s">
        <v>4</v>
      </c>
      <c r="H1013" s="14" t="s">
        <v>11</v>
      </c>
      <c r="I1013" s="16" t="s">
        <v>92</v>
      </c>
      <c r="J1013" s="14" t="str">
        <f t="shared" ca="1" si="60"/>
        <v>No</v>
      </c>
    </row>
    <row r="1014" spans="1:10" x14ac:dyDescent="0.35">
      <c r="A1014" s="12">
        <f t="shared" si="61"/>
        <v>26</v>
      </c>
      <c r="B1014" s="12" t="str">
        <f t="shared" si="62"/>
        <v>Jun2025</v>
      </c>
      <c r="C1014" s="12" t="str">
        <f t="shared" si="63"/>
        <v>Thursday</v>
      </c>
      <c r="D1014" s="13">
        <v>45834</v>
      </c>
      <c r="E1014" s="14">
        <v>5</v>
      </c>
      <c r="F1014" s="12">
        <v>11246670422</v>
      </c>
      <c r="G1014" s="14" t="s">
        <v>3</v>
      </c>
      <c r="H1014" s="14" t="s">
        <v>21</v>
      </c>
      <c r="I1014" s="16" t="s">
        <v>16</v>
      </c>
      <c r="J1014" s="14" t="str">
        <f t="shared" ca="1" si="60"/>
        <v>No</v>
      </c>
    </row>
    <row r="1015" spans="1:10" x14ac:dyDescent="0.35">
      <c r="A1015" s="12">
        <f t="shared" si="61"/>
        <v>26</v>
      </c>
      <c r="B1015" s="12" t="str">
        <f t="shared" si="62"/>
        <v>Jun2025</v>
      </c>
      <c r="C1015" s="12" t="str">
        <f t="shared" si="63"/>
        <v>Thursday</v>
      </c>
      <c r="D1015" s="13">
        <v>45834</v>
      </c>
      <c r="E1015" s="14">
        <v>6</v>
      </c>
      <c r="F1015" s="12">
        <v>11246746422</v>
      </c>
      <c r="G1015" s="14" t="s">
        <v>3</v>
      </c>
      <c r="H1015" s="14" t="s">
        <v>21</v>
      </c>
      <c r="I1015" s="16" t="s">
        <v>16</v>
      </c>
      <c r="J1015" s="14" t="str">
        <f t="shared" ca="1" si="60"/>
        <v>No</v>
      </c>
    </row>
    <row r="1016" spans="1:10" x14ac:dyDescent="0.35">
      <c r="A1016" s="12">
        <f t="shared" si="61"/>
        <v>26</v>
      </c>
      <c r="B1016" s="12" t="str">
        <f t="shared" si="62"/>
        <v>Jun2025</v>
      </c>
      <c r="C1016" s="12" t="str">
        <f t="shared" si="63"/>
        <v>Thursday</v>
      </c>
      <c r="D1016" s="13">
        <v>45834</v>
      </c>
      <c r="E1016" s="14">
        <v>7</v>
      </c>
      <c r="F1016" s="12">
        <v>11247008072</v>
      </c>
      <c r="G1016" s="14" t="s">
        <v>4</v>
      </c>
      <c r="H1016" s="14" t="s">
        <v>61</v>
      </c>
      <c r="I1016" s="16" t="s">
        <v>9</v>
      </c>
      <c r="J1016" s="14" t="str">
        <f t="shared" ca="1" si="60"/>
        <v>No</v>
      </c>
    </row>
    <row r="1017" spans="1:10" x14ac:dyDescent="0.35">
      <c r="A1017" s="12">
        <f t="shared" si="61"/>
        <v>26</v>
      </c>
      <c r="B1017" s="12" t="str">
        <f t="shared" si="62"/>
        <v>Jun2025</v>
      </c>
      <c r="C1017" s="12" t="str">
        <f t="shared" si="63"/>
        <v>Thursday</v>
      </c>
      <c r="D1017" s="13">
        <v>45834</v>
      </c>
      <c r="E1017" s="14">
        <v>8</v>
      </c>
      <c r="F1017" s="12">
        <v>11240101922</v>
      </c>
      <c r="G1017" s="14" t="s">
        <v>4</v>
      </c>
      <c r="H1017" s="14" t="s">
        <v>61</v>
      </c>
      <c r="I1017" s="16" t="s">
        <v>213</v>
      </c>
      <c r="J1017" s="14" t="str">
        <f t="shared" ca="1" si="60"/>
        <v>No</v>
      </c>
    </row>
    <row r="1018" spans="1:10" x14ac:dyDescent="0.35">
      <c r="A1018" s="12">
        <f t="shared" si="61"/>
        <v>26</v>
      </c>
      <c r="B1018" s="12" t="str">
        <f t="shared" si="62"/>
        <v>Jun2025</v>
      </c>
      <c r="C1018" s="12" t="str">
        <f t="shared" si="63"/>
        <v>Thursday</v>
      </c>
      <c r="D1018" s="13">
        <v>45834</v>
      </c>
      <c r="E1018" s="14">
        <v>9</v>
      </c>
      <c r="F1018" s="12">
        <v>11246746422</v>
      </c>
      <c r="G1018" s="14" t="s">
        <v>4</v>
      </c>
      <c r="H1018" s="14" t="s">
        <v>21</v>
      </c>
      <c r="I1018" s="16" t="s">
        <v>24</v>
      </c>
      <c r="J1018" s="14" t="str">
        <f t="shared" ca="1" si="60"/>
        <v>No</v>
      </c>
    </row>
    <row r="1019" spans="1:10" x14ac:dyDescent="0.35">
      <c r="A1019" s="12">
        <f t="shared" si="61"/>
        <v>26</v>
      </c>
      <c r="B1019" s="12" t="str">
        <f t="shared" si="62"/>
        <v>Jun2025</v>
      </c>
      <c r="C1019" s="12" t="str">
        <f t="shared" si="63"/>
        <v>Thursday</v>
      </c>
      <c r="D1019" s="13">
        <v>45834</v>
      </c>
      <c r="E1019" s="14">
        <v>10</v>
      </c>
      <c r="F1019" s="12">
        <v>11247445232</v>
      </c>
      <c r="G1019" s="14" t="s">
        <v>4</v>
      </c>
      <c r="H1019" s="14" t="s">
        <v>11</v>
      </c>
      <c r="I1019" s="16" t="s">
        <v>55</v>
      </c>
      <c r="J1019" s="14" t="str">
        <f t="shared" ca="1" si="60"/>
        <v>Yes</v>
      </c>
    </row>
    <row r="1020" spans="1:10" x14ac:dyDescent="0.35">
      <c r="A1020" s="12">
        <f t="shared" si="61"/>
        <v>26</v>
      </c>
      <c r="B1020" s="12" t="str">
        <f t="shared" si="62"/>
        <v>Jun2025</v>
      </c>
      <c r="C1020" s="12" t="str">
        <f t="shared" si="63"/>
        <v>Thursday</v>
      </c>
      <c r="D1020" s="13">
        <v>45834</v>
      </c>
      <c r="E1020" s="14">
        <v>11</v>
      </c>
      <c r="F1020" s="12">
        <v>11247380242</v>
      </c>
      <c r="G1020" s="14" t="s">
        <v>7</v>
      </c>
      <c r="H1020" s="14" t="s">
        <v>21</v>
      </c>
      <c r="I1020" s="16" t="s">
        <v>58</v>
      </c>
      <c r="J1020" s="14" t="str">
        <f t="shared" ca="1" si="60"/>
        <v>No</v>
      </c>
    </row>
    <row r="1021" spans="1:10" x14ac:dyDescent="0.35">
      <c r="A1021" s="12">
        <f t="shared" si="61"/>
        <v>26</v>
      </c>
      <c r="B1021" s="12" t="str">
        <f t="shared" si="62"/>
        <v>Jun2025</v>
      </c>
      <c r="C1021" s="12" t="str">
        <f t="shared" si="63"/>
        <v>Thursday</v>
      </c>
      <c r="D1021" s="13">
        <v>45834</v>
      </c>
      <c r="E1021" s="14">
        <v>12</v>
      </c>
      <c r="F1021" s="12">
        <v>11247430552</v>
      </c>
      <c r="G1021" s="14" t="s">
        <v>5</v>
      </c>
      <c r="H1021" s="14" t="s">
        <v>61</v>
      </c>
      <c r="I1021" s="16" t="s">
        <v>88</v>
      </c>
      <c r="J1021" s="14" t="str">
        <f t="shared" ca="1" si="60"/>
        <v>No</v>
      </c>
    </row>
    <row r="1022" spans="1:10" x14ac:dyDescent="0.35">
      <c r="A1022" s="12">
        <f t="shared" si="61"/>
        <v>26</v>
      </c>
      <c r="B1022" s="12" t="str">
        <f t="shared" si="62"/>
        <v>Jun2025</v>
      </c>
      <c r="C1022" s="12" t="str">
        <f t="shared" si="63"/>
        <v>Thursday</v>
      </c>
      <c r="D1022" s="13">
        <v>45834</v>
      </c>
      <c r="E1022" s="14">
        <v>13</v>
      </c>
      <c r="F1022" s="12">
        <v>11111758012</v>
      </c>
      <c r="G1022" s="14" t="s">
        <v>4</v>
      </c>
      <c r="H1022" s="14" t="s">
        <v>61</v>
      </c>
      <c r="I1022" s="16" t="s">
        <v>103</v>
      </c>
      <c r="J1022" s="14" t="str">
        <f t="shared" ca="1" si="60"/>
        <v>No</v>
      </c>
    </row>
    <row r="1023" spans="1:10" x14ac:dyDescent="0.35">
      <c r="A1023" s="12">
        <f t="shared" si="61"/>
        <v>26</v>
      </c>
      <c r="B1023" s="12" t="str">
        <f t="shared" si="62"/>
        <v>Jun2025</v>
      </c>
      <c r="C1023" s="12" t="str">
        <f t="shared" si="63"/>
        <v>Thursday</v>
      </c>
      <c r="D1023" s="13">
        <v>45834</v>
      </c>
      <c r="E1023" s="14">
        <v>14</v>
      </c>
      <c r="F1023" s="12">
        <v>11246775322</v>
      </c>
      <c r="G1023" s="14" t="s">
        <v>4</v>
      </c>
      <c r="H1023" s="14" t="s">
        <v>11</v>
      </c>
      <c r="I1023" s="16" t="s">
        <v>32</v>
      </c>
      <c r="J1023" s="14" t="str">
        <f t="shared" ca="1" si="60"/>
        <v>No</v>
      </c>
    </row>
    <row r="1024" spans="1:10" x14ac:dyDescent="0.35">
      <c r="A1024" s="12">
        <f t="shared" si="61"/>
        <v>26</v>
      </c>
      <c r="B1024" s="12" t="str">
        <f t="shared" si="62"/>
        <v>Jun2025</v>
      </c>
      <c r="C1024" s="12" t="str">
        <f t="shared" si="63"/>
        <v>Thursday</v>
      </c>
      <c r="D1024" s="13">
        <v>45834</v>
      </c>
      <c r="E1024" s="14">
        <v>15</v>
      </c>
      <c r="F1024" s="12">
        <v>11247771492</v>
      </c>
      <c r="G1024" s="14" t="s">
        <v>4</v>
      </c>
      <c r="H1024" s="14" t="s">
        <v>11</v>
      </c>
      <c r="I1024" s="16" t="s">
        <v>92</v>
      </c>
      <c r="J1024" s="14" t="str">
        <f t="shared" ca="1" si="60"/>
        <v>No</v>
      </c>
    </row>
    <row r="1025" spans="1:10" x14ac:dyDescent="0.35">
      <c r="A1025" s="12">
        <f t="shared" si="61"/>
        <v>26</v>
      </c>
      <c r="B1025" s="12" t="str">
        <f t="shared" si="62"/>
        <v>Jun2025</v>
      </c>
      <c r="C1025" s="12" t="str">
        <f t="shared" si="63"/>
        <v>Thursday</v>
      </c>
      <c r="D1025" s="13">
        <v>45834</v>
      </c>
      <c r="E1025" s="14">
        <v>16</v>
      </c>
      <c r="F1025" s="12">
        <v>11247804612</v>
      </c>
      <c r="G1025" s="14" t="s">
        <v>4</v>
      </c>
      <c r="H1025" s="14" t="s">
        <v>61</v>
      </c>
      <c r="I1025" s="16" t="s">
        <v>8</v>
      </c>
      <c r="J1025" s="14" t="str">
        <f t="shared" ca="1" si="60"/>
        <v>No</v>
      </c>
    </row>
    <row r="1026" spans="1:10" x14ac:dyDescent="0.35">
      <c r="A1026" s="12">
        <f t="shared" si="61"/>
        <v>26</v>
      </c>
      <c r="B1026" s="12" t="str">
        <f t="shared" si="62"/>
        <v>Jun2025</v>
      </c>
      <c r="C1026" s="12" t="str">
        <f t="shared" si="63"/>
        <v>Thursday</v>
      </c>
      <c r="D1026" s="13">
        <v>45834</v>
      </c>
      <c r="E1026" s="14">
        <v>17</v>
      </c>
      <c r="F1026" s="12">
        <v>11246321852</v>
      </c>
      <c r="G1026" s="14" t="s">
        <v>4</v>
      </c>
      <c r="H1026" s="14" t="s">
        <v>11</v>
      </c>
      <c r="I1026" s="16" t="s">
        <v>24</v>
      </c>
      <c r="J1026" s="14" t="str">
        <f t="shared" ref="J1026:J1038" ca="1" si="64">IF(RAND()&lt;0.2,"Yes","No")</f>
        <v>No</v>
      </c>
    </row>
    <row r="1027" spans="1:10" x14ac:dyDescent="0.35">
      <c r="A1027" s="12">
        <f t="shared" ref="A1027:A1038" si="65">WEEKNUM(D1027)</f>
        <v>26</v>
      </c>
      <c r="B1027" s="12" t="str">
        <f t="shared" ref="B1027:B1038" si="66">TEXT(D1027,"MMMYYYY")</f>
        <v>Jun2025</v>
      </c>
      <c r="C1027" s="12" t="str">
        <f t="shared" ref="C1027:C1038" si="67">TEXT(D1027,"dddd")</f>
        <v>Thursday</v>
      </c>
      <c r="D1027" s="13">
        <v>45834</v>
      </c>
      <c r="E1027" s="14">
        <v>18</v>
      </c>
      <c r="F1027" s="12">
        <v>11247430552</v>
      </c>
      <c r="G1027" s="14" t="s">
        <v>3</v>
      </c>
      <c r="H1027" s="14" t="s">
        <v>61</v>
      </c>
      <c r="I1027" s="16" t="s">
        <v>88</v>
      </c>
      <c r="J1027" s="14" t="str">
        <f t="shared" ca="1" si="64"/>
        <v>No</v>
      </c>
    </row>
    <row r="1028" spans="1:10" x14ac:dyDescent="0.35">
      <c r="A1028" s="12">
        <f t="shared" si="65"/>
        <v>26</v>
      </c>
      <c r="B1028" s="12" t="str">
        <f t="shared" si="66"/>
        <v>Jun2025</v>
      </c>
      <c r="C1028" s="12" t="str">
        <f t="shared" si="67"/>
        <v>Thursday</v>
      </c>
      <c r="D1028" s="13">
        <v>45834</v>
      </c>
      <c r="E1028" s="14">
        <v>19</v>
      </c>
      <c r="F1028" s="12">
        <v>11145299512</v>
      </c>
      <c r="G1028" s="14" t="s">
        <v>3</v>
      </c>
      <c r="H1028" s="14" t="s">
        <v>11</v>
      </c>
      <c r="I1028" s="16" t="s">
        <v>16</v>
      </c>
      <c r="J1028" s="14" t="str">
        <f t="shared" ca="1" si="64"/>
        <v>No</v>
      </c>
    </row>
    <row r="1029" spans="1:10" x14ac:dyDescent="0.35">
      <c r="A1029" s="12">
        <f t="shared" si="65"/>
        <v>26</v>
      </c>
      <c r="B1029" s="12" t="str">
        <f t="shared" si="66"/>
        <v>Jun2025</v>
      </c>
      <c r="C1029" s="12" t="str">
        <f t="shared" si="67"/>
        <v>Thursday</v>
      </c>
      <c r="D1029" s="13">
        <v>45834</v>
      </c>
      <c r="E1029" s="14">
        <v>20</v>
      </c>
      <c r="F1029" s="12">
        <v>11248255932</v>
      </c>
      <c r="G1029" s="14" t="s">
        <v>4</v>
      </c>
      <c r="H1029" s="14" t="s">
        <v>11</v>
      </c>
      <c r="I1029" s="16" t="s">
        <v>138</v>
      </c>
      <c r="J1029" s="14" t="str">
        <f t="shared" ca="1" si="64"/>
        <v>No</v>
      </c>
    </row>
    <row r="1030" spans="1:10" x14ac:dyDescent="0.35">
      <c r="A1030" s="12">
        <f t="shared" si="65"/>
        <v>26</v>
      </c>
      <c r="B1030" s="12" t="str">
        <f t="shared" si="66"/>
        <v>Jun2025</v>
      </c>
      <c r="C1030" s="12" t="str">
        <f t="shared" si="67"/>
        <v>Thursday</v>
      </c>
      <c r="D1030" s="13">
        <v>45834</v>
      </c>
      <c r="E1030" s="14">
        <v>21</v>
      </c>
      <c r="F1030" s="12">
        <v>11248189442</v>
      </c>
      <c r="G1030" s="14" t="s">
        <v>4</v>
      </c>
      <c r="H1030" s="14" t="s">
        <v>21</v>
      </c>
      <c r="I1030" s="16" t="s">
        <v>76</v>
      </c>
      <c r="J1030" s="14" t="str">
        <f t="shared" ca="1" si="64"/>
        <v>No</v>
      </c>
    </row>
    <row r="1031" spans="1:10" x14ac:dyDescent="0.35">
      <c r="A1031" s="12">
        <f t="shared" si="65"/>
        <v>26</v>
      </c>
      <c r="B1031" s="12" t="str">
        <f t="shared" si="66"/>
        <v>Jun2025</v>
      </c>
      <c r="C1031" s="12" t="str">
        <f t="shared" si="67"/>
        <v>Thursday</v>
      </c>
      <c r="D1031" s="13">
        <v>45834</v>
      </c>
      <c r="E1031" s="14">
        <v>22</v>
      </c>
      <c r="F1031" s="12">
        <v>11248857232</v>
      </c>
      <c r="G1031" s="14" t="s">
        <v>4</v>
      </c>
      <c r="H1031" s="14" t="s">
        <v>11</v>
      </c>
      <c r="I1031" s="16" t="s">
        <v>119</v>
      </c>
      <c r="J1031" s="14" t="str">
        <f t="shared" ca="1" si="64"/>
        <v>No</v>
      </c>
    </row>
    <row r="1032" spans="1:10" x14ac:dyDescent="0.35">
      <c r="A1032" s="12">
        <f t="shared" si="65"/>
        <v>26</v>
      </c>
      <c r="B1032" s="12" t="str">
        <f t="shared" si="66"/>
        <v>Jun2025</v>
      </c>
      <c r="C1032" s="12" t="str">
        <f t="shared" si="67"/>
        <v>Thursday</v>
      </c>
      <c r="D1032" s="13">
        <v>45834</v>
      </c>
      <c r="E1032" s="14">
        <v>23</v>
      </c>
      <c r="F1032" s="12">
        <v>11147188492</v>
      </c>
      <c r="G1032" s="14" t="s">
        <v>3</v>
      </c>
      <c r="H1032" s="14" t="s">
        <v>11</v>
      </c>
      <c r="I1032" s="16" t="s">
        <v>32</v>
      </c>
      <c r="J1032" s="14" t="str">
        <f t="shared" ca="1" si="64"/>
        <v>No</v>
      </c>
    </row>
    <row r="1033" spans="1:10" x14ac:dyDescent="0.35">
      <c r="A1033" s="12">
        <f t="shared" si="65"/>
        <v>26</v>
      </c>
      <c r="B1033" s="12" t="str">
        <f t="shared" si="66"/>
        <v>Jun2025</v>
      </c>
      <c r="C1033" s="12" t="str">
        <f t="shared" si="67"/>
        <v>Thursday</v>
      </c>
      <c r="D1033" s="13">
        <v>45834</v>
      </c>
      <c r="E1033" s="14">
        <v>24</v>
      </c>
      <c r="F1033" s="12">
        <v>11249068432</v>
      </c>
      <c r="G1033" s="14" t="s">
        <v>4</v>
      </c>
      <c r="H1033" s="14" t="s">
        <v>21</v>
      </c>
      <c r="I1033" s="16" t="s">
        <v>26</v>
      </c>
      <c r="J1033" s="14" t="str">
        <f t="shared" ca="1" si="64"/>
        <v>No</v>
      </c>
    </row>
    <row r="1034" spans="1:10" x14ac:dyDescent="0.35">
      <c r="A1034" s="12">
        <f t="shared" si="65"/>
        <v>26</v>
      </c>
      <c r="B1034" s="12" t="str">
        <f t="shared" si="66"/>
        <v>Jun2025</v>
      </c>
      <c r="C1034" s="12" t="str">
        <f t="shared" si="67"/>
        <v>Thursday</v>
      </c>
      <c r="D1034" s="13">
        <v>45834</v>
      </c>
      <c r="E1034" s="14">
        <v>25</v>
      </c>
      <c r="F1034" s="12">
        <v>11241604562</v>
      </c>
      <c r="G1034" s="14" t="s">
        <v>4</v>
      </c>
      <c r="H1034" s="14" t="s">
        <v>11</v>
      </c>
      <c r="I1034" s="16" t="s">
        <v>64</v>
      </c>
      <c r="J1034" s="14" t="str">
        <f t="shared" ca="1" si="64"/>
        <v>No</v>
      </c>
    </row>
    <row r="1035" spans="1:10" x14ac:dyDescent="0.35">
      <c r="A1035" s="12">
        <f t="shared" si="65"/>
        <v>26</v>
      </c>
      <c r="B1035" s="12" t="str">
        <f t="shared" si="66"/>
        <v>Jun2025</v>
      </c>
      <c r="C1035" s="12" t="str">
        <f t="shared" si="67"/>
        <v>Thursday</v>
      </c>
      <c r="D1035" s="13">
        <v>45834</v>
      </c>
      <c r="E1035" s="14">
        <v>26</v>
      </c>
      <c r="F1035" s="12">
        <v>11249570112</v>
      </c>
      <c r="G1035" s="14" t="s">
        <v>4</v>
      </c>
      <c r="H1035" s="14" t="s">
        <v>61</v>
      </c>
      <c r="I1035" s="16" t="s">
        <v>74</v>
      </c>
      <c r="J1035" s="14" t="str">
        <f t="shared" ca="1" si="64"/>
        <v>No</v>
      </c>
    </row>
    <row r="1036" spans="1:10" x14ac:dyDescent="0.35">
      <c r="A1036" s="12">
        <f t="shared" si="65"/>
        <v>26</v>
      </c>
      <c r="B1036" s="12" t="str">
        <f t="shared" si="66"/>
        <v>Jun2025</v>
      </c>
      <c r="C1036" s="12" t="str">
        <f t="shared" si="67"/>
        <v>Thursday</v>
      </c>
      <c r="D1036" s="13">
        <v>45834</v>
      </c>
      <c r="E1036" s="14">
        <v>27</v>
      </c>
      <c r="F1036" s="12">
        <v>11249293212</v>
      </c>
      <c r="G1036" s="14" t="s">
        <v>4</v>
      </c>
      <c r="H1036" s="14" t="s">
        <v>21</v>
      </c>
      <c r="I1036" s="16" t="s">
        <v>25</v>
      </c>
      <c r="J1036" s="14" t="str">
        <f t="shared" ca="1" si="64"/>
        <v>No</v>
      </c>
    </row>
    <row r="1037" spans="1:10" x14ac:dyDescent="0.35">
      <c r="A1037" s="12">
        <f t="shared" si="65"/>
        <v>26</v>
      </c>
      <c r="B1037" s="12" t="str">
        <f t="shared" si="66"/>
        <v>Jun2025</v>
      </c>
      <c r="C1037" s="12" t="str">
        <f t="shared" si="67"/>
        <v>Thursday</v>
      </c>
      <c r="D1037" s="13">
        <v>45834</v>
      </c>
      <c r="E1037" s="14">
        <v>28</v>
      </c>
      <c r="F1037" s="12">
        <v>11249570522</v>
      </c>
      <c r="G1037" s="14" t="s">
        <v>7</v>
      </c>
      <c r="H1037" s="14" t="s">
        <v>21</v>
      </c>
      <c r="I1037" s="16" t="s">
        <v>58</v>
      </c>
      <c r="J1037" s="14" t="str">
        <f t="shared" ca="1" si="64"/>
        <v>Yes</v>
      </c>
    </row>
    <row r="1038" spans="1:10" x14ac:dyDescent="0.35">
      <c r="A1038" s="12">
        <f t="shared" si="65"/>
        <v>26</v>
      </c>
      <c r="B1038" s="12" t="str">
        <f t="shared" si="66"/>
        <v>Jun2025</v>
      </c>
      <c r="C1038" s="12" t="str">
        <f t="shared" si="67"/>
        <v>Thursday</v>
      </c>
      <c r="D1038" s="13">
        <v>45834</v>
      </c>
      <c r="E1038" s="14">
        <v>29</v>
      </c>
      <c r="F1038" s="12">
        <v>11215461112</v>
      </c>
      <c r="G1038" s="14" t="s">
        <v>5</v>
      </c>
      <c r="H1038" s="14" t="s">
        <v>21</v>
      </c>
      <c r="I1038" s="16" t="s">
        <v>63</v>
      </c>
      <c r="J1038" s="14" t="str">
        <f t="shared" ca="1" si="64"/>
        <v>No</v>
      </c>
    </row>
  </sheetData>
  <phoneticPr fontId="8"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10AA5-FE0B-46F8-9411-684776CBE095}">
  <sheetPr codeName="Sheet1"/>
  <dimension ref="A1:M21"/>
  <sheetViews>
    <sheetView workbookViewId="0">
      <selection activeCell="A7" sqref="A7"/>
    </sheetView>
  </sheetViews>
  <sheetFormatPr defaultRowHeight="14.5" x14ac:dyDescent="0.35"/>
  <cols>
    <col min="1" max="1" width="14.54296875" bestFit="1" customWidth="1"/>
    <col min="2" max="2" width="12.6328125" bestFit="1" customWidth="1"/>
    <col min="3" max="3" width="38.1796875" style="48" customWidth="1"/>
    <col min="4" max="4" width="12.36328125" bestFit="1" customWidth="1"/>
    <col min="5" max="5" width="12.1796875" bestFit="1" customWidth="1"/>
    <col min="6" max="6" width="17.1796875" bestFit="1" customWidth="1"/>
    <col min="7" max="7" width="44.54296875" style="48" customWidth="1"/>
    <col min="8" max="8" width="12.36328125" bestFit="1" customWidth="1"/>
    <col min="9" max="9" width="12.1796875" bestFit="1" customWidth="1"/>
    <col min="10" max="10" width="43.54296875" style="48" customWidth="1"/>
    <col min="12" max="12" width="21.1796875" bestFit="1" customWidth="1"/>
    <col min="13" max="13" width="12.1796875" bestFit="1" customWidth="1"/>
  </cols>
  <sheetData>
    <row r="1" spans="1:13" x14ac:dyDescent="0.35">
      <c r="A1" s="23" t="s">
        <v>2</v>
      </c>
      <c r="B1" s="24" t="s">
        <v>10</v>
      </c>
      <c r="D1" s="49" t="s">
        <v>243</v>
      </c>
      <c r="E1" s="51"/>
      <c r="F1" s="50"/>
      <c r="H1" s="49" t="s">
        <v>244</v>
      </c>
      <c r="I1" s="50"/>
      <c r="L1" s="22" t="s">
        <v>278</v>
      </c>
      <c r="M1" s="24" t="s">
        <v>255</v>
      </c>
    </row>
    <row r="2" spans="1:13" x14ac:dyDescent="0.35">
      <c r="A2" s="6"/>
      <c r="B2" s="7"/>
      <c r="D2" s="33" t="s">
        <v>235</v>
      </c>
      <c r="E2" s="43" t="s">
        <v>242</v>
      </c>
      <c r="F2" s="24" t="s">
        <v>238</v>
      </c>
      <c r="H2" s="33" t="s">
        <v>235</v>
      </c>
      <c r="I2" s="35" t="s">
        <v>242</v>
      </c>
      <c r="L2" s="6"/>
      <c r="M2" s="7"/>
    </row>
    <row r="3" spans="1:13" x14ac:dyDescent="0.35">
      <c r="A3" s="33" t="s">
        <v>235</v>
      </c>
      <c r="B3" s="35" t="s">
        <v>242</v>
      </c>
      <c r="D3" s="27" t="s">
        <v>11</v>
      </c>
      <c r="E3" s="30">
        <v>6244</v>
      </c>
      <c r="F3" s="42">
        <v>490</v>
      </c>
      <c r="H3" s="27" t="s">
        <v>245</v>
      </c>
      <c r="I3" s="30">
        <v>189</v>
      </c>
      <c r="L3" s="33" t="s">
        <v>235</v>
      </c>
      <c r="M3" s="35" t="s">
        <v>242</v>
      </c>
    </row>
    <row r="4" spans="1:13" x14ac:dyDescent="0.35">
      <c r="A4" s="34">
        <v>10763294912</v>
      </c>
      <c r="B4" s="30">
        <v>12</v>
      </c>
      <c r="D4" s="28" t="s">
        <v>21</v>
      </c>
      <c r="E4" s="31">
        <v>3690</v>
      </c>
      <c r="F4" s="7">
        <v>302</v>
      </c>
      <c r="H4" s="28" t="s">
        <v>246</v>
      </c>
      <c r="I4" s="31">
        <v>434</v>
      </c>
      <c r="L4" s="25" t="s">
        <v>261</v>
      </c>
      <c r="M4" s="30">
        <v>324</v>
      </c>
    </row>
    <row r="5" spans="1:13" x14ac:dyDescent="0.35">
      <c r="A5" s="27">
        <v>10863401852</v>
      </c>
      <c r="B5" s="31">
        <v>24</v>
      </c>
      <c r="D5" s="29" t="s">
        <v>61</v>
      </c>
      <c r="E5" s="31">
        <v>3172</v>
      </c>
      <c r="F5" s="7">
        <v>244</v>
      </c>
      <c r="H5" s="28" t="s">
        <v>247</v>
      </c>
      <c r="I5" s="31">
        <v>3940</v>
      </c>
      <c r="L5" s="26" t="s">
        <v>262</v>
      </c>
      <c r="M5" s="31">
        <v>943</v>
      </c>
    </row>
    <row r="6" spans="1:13" x14ac:dyDescent="0.35">
      <c r="A6" s="29">
        <v>10867707642</v>
      </c>
      <c r="B6" s="31">
        <v>7</v>
      </c>
      <c r="D6" s="34" t="s">
        <v>236</v>
      </c>
      <c r="E6" s="32">
        <v>13106</v>
      </c>
      <c r="F6" s="21">
        <v>1036</v>
      </c>
      <c r="H6" s="28" t="s">
        <v>248</v>
      </c>
      <c r="I6" s="31">
        <v>4429</v>
      </c>
      <c r="L6" s="26" t="s">
        <v>263</v>
      </c>
      <c r="M6" s="31">
        <v>1604</v>
      </c>
    </row>
    <row r="7" spans="1:13" x14ac:dyDescent="0.35">
      <c r="A7" s="27">
        <v>11209711302</v>
      </c>
      <c r="B7" s="31">
        <v>12</v>
      </c>
      <c r="H7" s="28" t="s">
        <v>249</v>
      </c>
      <c r="I7" s="31">
        <v>350</v>
      </c>
      <c r="L7" s="26" t="s">
        <v>264</v>
      </c>
      <c r="M7" s="31">
        <v>1180</v>
      </c>
    </row>
    <row r="8" spans="1:13" x14ac:dyDescent="0.35">
      <c r="A8" s="28">
        <v>11214120592</v>
      </c>
      <c r="B8" s="31">
        <v>19</v>
      </c>
      <c r="H8" s="28" t="s">
        <v>250</v>
      </c>
      <c r="I8" s="31">
        <v>3150</v>
      </c>
      <c r="L8" s="26" t="s">
        <v>265</v>
      </c>
      <c r="M8" s="31">
        <v>381</v>
      </c>
    </row>
    <row r="9" spans="1:13" x14ac:dyDescent="0.35">
      <c r="A9" s="29">
        <v>11219607272</v>
      </c>
      <c r="B9" s="31">
        <v>6</v>
      </c>
      <c r="H9" s="28" t="s">
        <v>251</v>
      </c>
      <c r="I9" s="31">
        <v>209</v>
      </c>
      <c r="L9" s="26" t="s">
        <v>266</v>
      </c>
      <c r="M9" s="31">
        <v>4</v>
      </c>
    </row>
    <row r="10" spans="1:13" x14ac:dyDescent="0.35">
      <c r="A10" s="34" t="s">
        <v>236</v>
      </c>
      <c r="B10" s="32">
        <v>80</v>
      </c>
      <c r="H10" s="29" t="s">
        <v>252</v>
      </c>
      <c r="I10" s="31">
        <v>405</v>
      </c>
      <c r="L10" s="26" t="s">
        <v>267</v>
      </c>
      <c r="M10" s="31">
        <v>1251</v>
      </c>
    </row>
    <row r="11" spans="1:13" x14ac:dyDescent="0.35">
      <c r="H11" s="34" t="s">
        <v>236</v>
      </c>
      <c r="I11" s="32">
        <v>13106</v>
      </c>
      <c r="L11" s="26" t="s">
        <v>268</v>
      </c>
      <c r="M11" s="31">
        <v>1959</v>
      </c>
    </row>
    <row r="12" spans="1:13" x14ac:dyDescent="0.35">
      <c r="L12" s="26" t="s">
        <v>269</v>
      </c>
      <c r="M12" s="31">
        <v>723</v>
      </c>
    </row>
    <row r="13" spans="1:13" x14ac:dyDescent="0.35">
      <c r="L13" s="26" t="s">
        <v>270</v>
      </c>
      <c r="M13" s="31">
        <v>189</v>
      </c>
    </row>
    <row r="14" spans="1:13" x14ac:dyDescent="0.35">
      <c r="L14" s="26" t="s">
        <v>271</v>
      </c>
      <c r="M14" s="31">
        <v>209</v>
      </c>
    </row>
    <row r="15" spans="1:13" x14ac:dyDescent="0.35">
      <c r="L15" s="26" t="s">
        <v>272</v>
      </c>
      <c r="M15" s="31">
        <v>299</v>
      </c>
    </row>
    <row r="16" spans="1:13" x14ac:dyDescent="0.35">
      <c r="L16" s="26" t="s">
        <v>273</v>
      </c>
      <c r="M16" s="31">
        <v>1123</v>
      </c>
    </row>
    <row r="17" spans="12:13" x14ac:dyDescent="0.35">
      <c r="L17" s="26" t="s">
        <v>274</v>
      </c>
      <c r="M17" s="31">
        <v>1322</v>
      </c>
    </row>
    <row r="18" spans="12:13" x14ac:dyDescent="0.35">
      <c r="L18" s="26" t="s">
        <v>275</v>
      </c>
      <c r="M18" s="31">
        <v>785</v>
      </c>
    </row>
    <row r="19" spans="12:13" x14ac:dyDescent="0.35">
      <c r="L19" s="26" t="s">
        <v>276</v>
      </c>
      <c r="M19" s="31">
        <v>405</v>
      </c>
    </row>
    <row r="20" spans="12:13" x14ac:dyDescent="0.35">
      <c r="L20" s="44" t="s">
        <v>277</v>
      </c>
      <c r="M20" s="31">
        <v>434</v>
      </c>
    </row>
    <row r="21" spans="12:13" x14ac:dyDescent="0.35">
      <c r="L21" s="45" t="s">
        <v>236</v>
      </c>
      <c r="M21" s="32">
        <v>13135</v>
      </c>
    </row>
  </sheetData>
  <mergeCells count="5">
    <mergeCell ref="J1:J1048576"/>
    <mergeCell ref="H1:I1"/>
    <mergeCell ref="C1:C1048576"/>
    <mergeCell ref="G1:G1048576"/>
    <mergeCell ref="D1:F1"/>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7745A-EAF4-4CEB-97A5-93944A486FF0}">
  <sheetPr codeName="Sheet2"/>
  <dimension ref="A1:K16"/>
  <sheetViews>
    <sheetView topLeftCell="A19" workbookViewId="0">
      <selection activeCell="N29" sqref="N29"/>
    </sheetView>
  </sheetViews>
  <sheetFormatPr defaultRowHeight="14.5" x14ac:dyDescent="0.35"/>
  <cols>
    <col min="1" max="1" width="10.81640625" customWidth="1"/>
    <col min="2" max="2" width="15.54296875" customWidth="1"/>
    <col min="3" max="3" width="9.90625" customWidth="1"/>
    <col min="5" max="5" width="19.08984375" customWidth="1"/>
    <col min="6" max="6" width="10" customWidth="1"/>
    <col min="7" max="7" width="16.453125" customWidth="1"/>
  </cols>
  <sheetData>
    <row r="1" spans="1:11" ht="31.5" customHeight="1" x14ac:dyDescent="0.7">
      <c r="A1" s="60" t="s">
        <v>259</v>
      </c>
      <c r="B1" s="61"/>
      <c r="C1" s="61"/>
      <c r="D1" s="61"/>
      <c r="E1" s="61"/>
      <c r="F1" s="61"/>
      <c r="G1" s="61"/>
      <c r="H1" s="61"/>
      <c r="I1" s="61"/>
      <c r="J1" s="61"/>
      <c r="K1" s="62"/>
    </row>
    <row r="2" spans="1:11" x14ac:dyDescent="0.35">
      <c r="A2" s="58" t="s">
        <v>260</v>
      </c>
      <c r="B2" s="59"/>
      <c r="C2" s="46" t="s">
        <v>4</v>
      </c>
    </row>
    <row r="4" spans="1:11" x14ac:dyDescent="0.35">
      <c r="E4" s="8" t="s">
        <v>256</v>
      </c>
      <c r="F4" s="8">
        <f>COUNTIFS(Data!G:G,C2)</f>
        <v>553</v>
      </c>
    </row>
    <row r="5" spans="1:11" x14ac:dyDescent="0.35">
      <c r="E5" s="8" t="s">
        <v>257</v>
      </c>
      <c r="F5" s="8">
        <f>IFERROR(AVERAGEIFS(Data!A:A,Data!G:G,C2),0)</f>
        <v>13.365280289330922</v>
      </c>
    </row>
    <row r="6" spans="1:11" ht="15" thickBot="1" x14ac:dyDescent="0.4">
      <c r="A6" s="9"/>
      <c r="B6" s="9"/>
      <c r="C6" s="10" t="s">
        <v>258</v>
      </c>
      <c r="D6" s="11">
        <f>IF(COUNTA(Data!G:G)=0,0,COUNTIFS(Data!G:G,C2)/COUNTA(Data!G:G))</f>
        <v>0.53275529865125237</v>
      </c>
      <c r="E6" s="9"/>
      <c r="F6" s="9"/>
      <c r="G6" s="9"/>
      <c r="H6" s="9"/>
      <c r="I6" s="9"/>
      <c r="J6" s="9"/>
    </row>
    <row r="7" spans="1:11" ht="15" thickTop="1" x14ac:dyDescent="0.35">
      <c r="A7" s="52"/>
      <c r="B7" s="52"/>
      <c r="C7" s="52"/>
      <c r="D7" s="52"/>
      <c r="E7" s="52"/>
      <c r="F7" s="52"/>
      <c r="G7" s="52"/>
      <c r="H7" s="52"/>
      <c r="I7" s="52"/>
      <c r="J7" s="53"/>
    </row>
    <row r="8" spans="1:11" x14ac:dyDescent="0.35">
      <c r="A8" s="54"/>
      <c r="B8" s="54"/>
      <c r="C8" s="54"/>
      <c r="D8" s="54"/>
      <c r="E8" s="54"/>
      <c r="F8" s="54"/>
      <c r="G8" s="54"/>
      <c r="H8" s="54"/>
      <c r="I8" s="54"/>
      <c r="J8" s="55"/>
    </row>
    <row r="9" spans="1:11" x14ac:dyDescent="0.35">
      <c r="A9" s="54"/>
      <c r="B9" s="54"/>
      <c r="C9" s="54"/>
      <c r="D9" s="54"/>
      <c r="E9" s="54"/>
      <c r="F9" s="54"/>
      <c r="G9" s="54"/>
      <c r="H9" s="54"/>
      <c r="I9" s="54"/>
      <c r="J9" s="55"/>
    </row>
    <row r="10" spans="1:11" x14ac:dyDescent="0.35">
      <c r="A10" s="54"/>
      <c r="B10" s="54"/>
      <c r="C10" s="54"/>
      <c r="D10" s="54"/>
      <c r="E10" s="54"/>
      <c r="F10" s="54"/>
      <c r="G10" s="54"/>
      <c r="H10" s="54"/>
      <c r="I10" s="54"/>
      <c r="J10" s="55"/>
    </row>
    <row r="11" spans="1:11" x14ac:dyDescent="0.35">
      <c r="A11" s="54"/>
      <c r="B11" s="54"/>
      <c r="C11" s="54"/>
      <c r="D11" s="54"/>
      <c r="E11" s="54"/>
      <c r="F11" s="54"/>
      <c r="G11" s="54"/>
      <c r="H11" s="54"/>
      <c r="I11" s="54"/>
      <c r="J11" s="55"/>
    </row>
    <row r="12" spans="1:11" x14ac:dyDescent="0.35">
      <c r="A12" s="54"/>
      <c r="B12" s="54"/>
      <c r="C12" s="54"/>
      <c r="D12" s="54"/>
      <c r="E12" s="54"/>
      <c r="F12" s="54"/>
      <c r="G12" s="54"/>
      <c r="H12" s="54"/>
      <c r="I12" s="54"/>
      <c r="J12" s="55"/>
    </row>
    <row r="13" spans="1:11" x14ac:dyDescent="0.35">
      <c r="A13" s="54"/>
      <c r="B13" s="54"/>
      <c r="C13" s="54"/>
      <c r="D13" s="54"/>
      <c r="E13" s="54"/>
      <c r="F13" s="54"/>
      <c r="G13" s="54"/>
      <c r="H13" s="54"/>
      <c r="I13" s="54"/>
      <c r="J13" s="55"/>
    </row>
    <row r="14" spans="1:11" x14ac:dyDescent="0.35">
      <c r="A14" s="54"/>
      <c r="B14" s="54"/>
      <c r="C14" s="54"/>
      <c r="D14" s="54"/>
      <c r="E14" s="54"/>
      <c r="F14" s="54"/>
      <c r="G14" s="54"/>
      <c r="H14" s="54"/>
      <c r="I14" s="54"/>
      <c r="J14" s="55"/>
    </row>
    <row r="15" spans="1:11" ht="15" thickBot="1" x14ac:dyDescent="0.4">
      <c r="A15" s="56"/>
      <c r="B15" s="56"/>
      <c r="C15" s="56"/>
      <c r="D15" s="56"/>
      <c r="E15" s="56"/>
      <c r="F15" s="56"/>
      <c r="G15" s="56"/>
      <c r="H15" s="56"/>
      <c r="I15" s="56"/>
      <c r="J15" s="57"/>
    </row>
    <row r="16" spans="1:11" ht="15" thickTop="1" x14ac:dyDescent="0.35"/>
  </sheetData>
  <mergeCells count="3">
    <mergeCell ref="A7:J15"/>
    <mergeCell ref="A2:B2"/>
    <mergeCell ref="A1:K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AA9DF6C-07FC-43EE-A8C5-1E58B0CBF81F}">
          <x14:formula1>
            <xm:f>Mapping!E5:E9</xm:f>
          </x14:formula1>
          <xm:sqref>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D6326-5401-4677-91B5-49CA2D6EDE9D}">
  <dimension ref="A1:S47"/>
  <sheetViews>
    <sheetView zoomScaleNormal="100" workbookViewId="0">
      <selection activeCell="F51" sqref="F51"/>
    </sheetView>
  </sheetViews>
  <sheetFormatPr defaultRowHeight="14.5" x14ac:dyDescent="0.35"/>
  <sheetData>
    <row r="1" spans="1:19" x14ac:dyDescent="0.35">
      <c r="A1" s="73" t="s">
        <v>279</v>
      </c>
      <c r="B1" s="74"/>
      <c r="C1" s="74"/>
      <c r="D1" s="75"/>
    </row>
    <row r="2" spans="1:19" x14ac:dyDescent="0.35">
      <c r="A2" s="76"/>
      <c r="B2" s="77"/>
      <c r="C2" s="77"/>
      <c r="D2" s="78"/>
    </row>
    <row r="4" spans="1:19" x14ac:dyDescent="0.35">
      <c r="A4" s="79" t="s">
        <v>280</v>
      </c>
      <c r="B4" s="80"/>
    </row>
    <row r="5" spans="1:19" ht="14.5" customHeight="1" x14ac:dyDescent="0.35">
      <c r="A5" s="82" t="s">
        <v>283</v>
      </c>
      <c r="B5" s="83"/>
      <c r="C5" s="83"/>
      <c r="D5" s="83"/>
      <c r="E5" s="83"/>
      <c r="F5" s="83"/>
      <c r="G5" s="84"/>
    </row>
    <row r="6" spans="1:19" x14ac:dyDescent="0.35">
      <c r="A6" s="85"/>
      <c r="B6" s="86"/>
      <c r="C6" s="86"/>
      <c r="D6" s="86"/>
      <c r="E6" s="86"/>
      <c r="F6" s="86"/>
      <c r="G6" s="87"/>
    </row>
    <row r="7" spans="1:19" x14ac:dyDescent="0.35">
      <c r="A7" s="85"/>
      <c r="B7" s="86"/>
      <c r="C7" s="86"/>
      <c r="D7" s="86"/>
      <c r="E7" s="86"/>
      <c r="F7" s="86"/>
      <c r="G7" s="87"/>
    </row>
    <row r="8" spans="1:19" x14ac:dyDescent="0.35">
      <c r="A8" s="85"/>
      <c r="B8" s="86"/>
      <c r="C8" s="86"/>
      <c r="D8" s="86"/>
      <c r="E8" s="86"/>
      <c r="F8" s="86"/>
      <c r="G8" s="87"/>
    </row>
    <row r="9" spans="1:19" x14ac:dyDescent="0.35">
      <c r="A9" s="85"/>
      <c r="B9" s="86"/>
      <c r="C9" s="86"/>
      <c r="D9" s="86"/>
      <c r="E9" s="86"/>
      <c r="F9" s="86"/>
      <c r="G9" s="87"/>
    </row>
    <row r="10" spans="1:19" x14ac:dyDescent="0.35">
      <c r="A10" s="85"/>
      <c r="B10" s="86"/>
      <c r="C10" s="86"/>
      <c r="D10" s="86"/>
      <c r="E10" s="86"/>
      <c r="F10" s="86"/>
      <c r="G10" s="87"/>
    </row>
    <row r="11" spans="1:19" x14ac:dyDescent="0.35">
      <c r="A11" s="88"/>
      <c r="B11" s="89"/>
      <c r="C11" s="89"/>
      <c r="D11" s="89"/>
      <c r="E11" s="89"/>
      <c r="F11" s="89"/>
      <c r="G11" s="90"/>
    </row>
    <row r="12" spans="1:19" x14ac:dyDescent="0.35">
      <c r="A12" s="48"/>
      <c r="B12" s="48"/>
      <c r="C12" s="48"/>
      <c r="D12" s="48"/>
    </row>
    <row r="13" spans="1:19" x14ac:dyDescent="0.35">
      <c r="A13" s="79" t="s">
        <v>281</v>
      </c>
      <c r="B13" s="81"/>
    </row>
    <row r="14" spans="1:19" ht="14.5" customHeight="1" x14ac:dyDescent="0.35">
      <c r="A14" s="64" t="s">
        <v>282</v>
      </c>
      <c r="B14" s="65"/>
      <c r="C14" s="65"/>
      <c r="D14" s="65"/>
      <c r="E14" s="65"/>
      <c r="F14" s="65"/>
      <c r="G14" s="65"/>
      <c r="H14" s="65"/>
      <c r="I14" s="65"/>
      <c r="J14" s="65"/>
      <c r="K14" s="65"/>
      <c r="L14" s="65"/>
      <c r="M14" s="65"/>
      <c r="N14" s="65"/>
      <c r="O14" s="65"/>
      <c r="P14" s="65"/>
      <c r="Q14" s="65"/>
      <c r="R14" s="65"/>
      <c r="S14" s="66"/>
    </row>
    <row r="15" spans="1:19" x14ac:dyDescent="0.35">
      <c r="A15" s="67"/>
      <c r="B15" s="68"/>
      <c r="C15" s="68"/>
      <c r="D15" s="68"/>
      <c r="E15" s="68"/>
      <c r="F15" s="68"/>
      <c r="G15" s="68"/>
      <c r="H15" s="68"/>
      <c r="I15" s="68"/>
      <c r="J15" s="68"/>
      <c r="K15" s="68"/>
      <c r="L15" s="68"/>
      <c r="M15" s="68"/>
      <c r="N15" s="68"/>
      <c r="O15" s="68"/>
      <c r="P15" s="68"/>
      <c r="Q15" s="68"/>
      <c r="R15" s="68"/>
      <c r="S15" s="69"/>
    </row>
    <row r="16" spans="1:19" x14ac:dyDescent="0.35">
      <c r="A16" s="67"/>
      <c r="B16" s="68"/>
      <c r="C16" s="68"/>
      <c r="D16" s="68"/>
      <c r="E16" s="68"/>
      <c r="F16" s="68"/>
      <c r="G16" s="68"/>
      <c r="H16" s="68"/>
      <c r="I16" s="68"/>
      <c r="J16" s="68"/>
      <c r="K16" s="68"/>
      <c r="L16" s="68"/>
      <c r="M16" s="68"/>
      <c r="N16" s="68"/>
      <c r="O16" s="68"/>
      <c r="P16" s="68"/>
      <c r="Q16" s="68"/>
      <c r="R16" s="68"/>
      <c r="S16" s="69"/>
    </row>
    <row r="17" spans="1:19" x14ac:dyDescent="0.35">
      <c r="A17" s="67"/>
      <c r="B17" s="68"/>
      <c r="C17" s="68"/>
      <c r="D17" s="68"/>
      <c r="E17" s="68"/>
      <c r="F17" s="68"/>
      <c r="G17" s="68"/>
      <c r="H17" s="68"/>
      <c r="I17" s="68"/>
      <c r="J17" s="68"/>
      <c r="K17" s="68"/>
      <c r="L17" s="68"/>
      <c r="M17" s="68"/>
      <c r="N17" s="68"/>
      <c r="O17" s="68"/>
      <c r="P17" s="68"/>
      <c r="Q17" s="68"/>
      <c r="R17" s="68"/>
      <c r="S17" s="69"/>
    </row>
    <row r="18" spans="1:19" x14ac:dyDescent="0.35">
      <c r="A18" s="67"/>
      <c r="B18" s="68"/>
      <c r="C18" s="68"/>
      <c r="D18" s="68"/>
      <c r="E18" s="68"/>
      <c r="F18" s="68"/>
      <c r="G18" s="68"/>
      <c r="H18" s="68"/>
      <c r="I18" s="68"/>
      <c r="J18" s="68"/>
      <c r="K18" s="68"/>
      <c r="L18" s="68"/>
      <c r="M18" s="68"/>
      <c r="N18" s="68"/>
      <c r="O18" s="68"/>
      <c r="P18" s="68"/>
      <c r="Q18" s="68"/>
      <c r="R18" s="68"/>
      <c r="S18" s="69"/>
    </row>
    <row r="19" spans="1:19" x14ac:dyDescent="0.35">
      <c r="A19" s="67"/>
      <c r="B19" s="68"/>
      <c r="C19" s="68"/>
      <c r="D19" s="68"/>
      <c r="E19" s="68"/>
      <c r="F19" s="68"/>
      <c r="G19" s="68"/>
      <c r="H19" s="68"/>
      <c r="I19" s="68"/>
      <c r="J19" s="68"/>
      <c r="K19" s="68"/>
      <c r="L19" s="68"/>
      <c r="M19" s="68"/>
      <c r="N19" s="68"/>
      <c r="O19" s="68"/>
      <c r="P19" s="68"/>
      <c r="Q19" s="68"/>
      <c r="R19" s="68"/>
      <c r="S19" s="69"/>
    </row>
    <row r="20" spans="1:19" x14ac:dyDescent="0.35">
      <c r="A20" s="67"/>
      <c r="B20" s="68"/>
      <c r="C20" s="68"/>
      <c r="D20" s="68"/>
      <c r="E20" s="68"/>
      <c r="F20" s="68"/>
      <c r="G20" s="68"/>
      <c r="H20" s="68"/>
      <c r="I20" s="68"/>
      <c r="J20" s="68"/>
      <c r="K20" s="68"/>
      <c r="L20" s="68"/>
      <c r="M20" s="68"/>
      <c r="N20" s="68"/>
      <c r="O20" s="68"/>
      <c r="P20" s="68"/>
      <c r="Q20" s="68"/>
      <c r="R20" s="68"/>
      <c r="S20" s="69"/>
    </row>
    <row r="21" spans="1:19" x14ac:dyDescent="0.35">
      <c r="A21" s="67"/>
      <c r="B21" s="68"/>
      <c r="C21" s="68"/>
      <c r="D21" s="68"/>
      <c r="E21" s="68"/>
      <c r="F21" s="68"/>
      <c r="G21" s="68"/>
      <c r="H21" s="68"/>
      <c r="I21" s="68"/>
      <c r="J21" s="68"/>
      <c r="K21" s="68"/>
      <c r="L21" s="68"/>
      <c r="M21" s="68"/>
      <c r="N21" s="68"/>
      <c r="O21" s="68"/>
      <c r="P21" s="68"/>
      <c r="Q21" s="68"/>
      <c r="R21" s="68"/>
      <c r="S21" s="69"/>
    </row>
    <row r="22" spans="1:19" x14ac:dyDescent="0.35">
      <c r="A22" s="67"/>
      <c r="B22" s="68"/>
      <c r="C22" s="68"/>
      <c r="D22" s="68"/>
      <c r="E22" s="68"/>
      <c r="F22" s="68"/>
      <c r="G22" s="68"/>
      <c r="H22" s="68"/>
      <c r="I22" s="68"/>
      <c r="J22" s="68"/>
      <c r="K22" s="68"/>
      <c r="L22" s="68"/>
      <c r="M22" s="68"/>
      <c r="N22" s="68"/>
      <c r="O22" s="68"/>
      <c r="P22" s="68"/>
      <c r="Q22" s="68"/>
      <c r="R22" s="68"/>
      <c r="S22" s="69"/>
    </row>
    <row r="23" spans="1:19" x14ac:dyDescent="0.35">
      <c r="A23" s="67"/>
      <c r="B23" s="68"/>
      <c r="C23" s="68"/>
      <c r="D23" s="68"/>
      <c r="E23" s="68"/>
      <c r="F23" s="68"/>
      <c r="G23" s="68"/>
      <c r="H23" s="68"/>
      <c r="I23" s="68"/>
      <c r="J23" s="68"/>
      <c r="K23" s="68"/>
      <c r="L23" s="68"/>
      <c r="M23" s="68"/>
      <c r="N23" s="68"/>
      <c r="O23" s="68"/>
      <c r="P23" s="68"/>
      <c r="Q23" s="68"/>
      <c r="R23" s="68"/>
      <c r="S23" s="69"/>
    </row>
    <row r="24" spans="1:19" x14ac:dyDescent="0.35">
      <c r="A24" s="67"/>
      <c r="B24" s="68"/>
      <c r="C24" s="68"/>
      <c r="D24" s="68"/>
      <c r="E24" s="68"/>
      <c r="F24" s="68"/>
      <c r="G24" s="68"/>
      <c r="H24" s="68"/>
      <c r="I24" s="68"/>
      <c r="J24" s="68"/>
      <c r="K24" s="68"/>
      <c r="L24" s="68"/>
      <c r="M24" s="68"/>
      <c r="N24" s="68"/>
      <c r="O24" s="68"/>
      <c r="P24" s="68"/>
      <c r="Q24" s="68"/>
      <c r="R24" s="68"/>
      <c r="S24" s="69"/>
    </row>
    <row r="25" spans="1:19" x14ac:dyDescent="0.35">
      <c r="A25" s="67"/>
      <c r="B25" s="68"/>
      <c r="C25" s="68"/>
      <c r="D25" s="68"/>
      <c r="E25" s="68"/>
      <c r="F25" s="68"/>
      <c r="G25" s="68"/>
      <c r="H25" s="68"/>
      <c r="I25" s="68"/>
      <c r="J25" s="68"/>
      <c r="K25" s="68"/>
      <c r="L25" s="68"/>
      <c r="M25" s="68"/>
      <c r="N25" s="68"/>
      <c r="O25" s="68"/>
      <c r="P25" s="68"/>
      <c r="Q25" s="68"/>
      <c r="R25" s="68"/>
      <c r="S25" s="69"/>
    </row>
    <row r="26" spans="1:19" x14ac:dyDescent="0.35">
      <c r="A26" s="67"/>
      <c r="B26" s="68"/>
      <c r="C26" s="68"/>
      <c r="D26" s="68"/>
      <c r="E26" s="68"/>
      <c r="F26" s="68"/>
      <c r="G26" s="68"/>
      <c r="H26" s="68"/>
      <c r="I26" s="68"/>
      <c r="J26" s="68"/>
      <c r="K26" s="68"/>
      <c r="L26" s="68"/>
      <c r="M26" s="68"/>
      <c r="N26" s="68"/>
      <c r="O26" s="68"/>
      <c r="P26" s="68"/>
      <c r="Q26" s="68"/>
      <c r="R26" s="68"/>
      <c r="S26" s="69"/>
    </row>
    <row r="27" spans="1:19" x14ac:dyDescent="0.35">
      <c r="A27" s="67"/>
      <c r="B27" s="68"/>
      <c r="C27" s="68"/>
      <c r="D27" s="68"/>
      <c r="E27" s="68"/>
      <c r="F27" s="68"/>
      <c r="G27" s="68"/>
      <c r="H27" s="68"/>
      <c r="I27" s="68"/>
      <c r="J27" s="68"/>
      <c r="K27" s="68"/>
      <c r="L27" s="68"/>
      <c r="M27" s="68"/>
      <c r="N27" s="68"/>
      <c r="O27" s="68"/>
      <c r="P27" s="68"/>
      <c r="Q27" s="68"/>
      <c r="R27" s="68"/>
      <c r="S27" s="69"/>
    </row>
    <row r="28" spans="1:19" x14ac:dyDescent="0.35">
      <c r="A28" s="67"/>
      <c r="B28" s="68"/>
      <c r="C28" s="68"/>
      <c r="D28" s="68"/>
      <c r="E28" s="68"/>
      <c r="F28" s="68"/>
      <c r="G28" s="68"/>
      <c r="H28" s="68"/>
      <c r="I28" s="68"/>
      <c r="J28" s="68"/>
      <c r="K28" s="68"/>
      <c r="L28" s="68"/>
      <c r="M28" s="68"/>
      <c r="N28" s="68"/>
      <c r="O28" s="68"/>
      <c r="P28" s="68"/>
      <c r="Q28" s="68"/>
      <c r="R28" s="68"/>
      <c r="S28" s="69"/>
    </row>
    <row r="29" spans="1:19" x14ac:dyDescent="0.35">
      <c r="A29" s="67"/>
      <c r="B29" s="68"/>
      <c r="C29" s="68"/>
      <c r="D29" s="68"/>
      <c r="E29" s="68"/>
      <c r="F29" s="68"/>
      <c r="G29" s="68"/>
      <c r="H29" s="68"/>
      <c r="I29" s="68"/>
      <c r="J29" s="68"/>
      <c r="K29" s="68"/>
      <c r="L29" s="68"/>
      <c r="M29" s="68"/>
      <c r="N29" s="68"/>
      <c r="O29" s="68"/>
      <c r="P29" s="68"/>
      <c r="Q29" s="68"/>
      <c r="R29" s="68"/>
      <c r="S29" s="69"/>
    </row>
    <row r="30" spans="1:19" x14ac:dyDescent="0.35">
      <c r="A30" s="67"/>
      <c r="B30" s="68"/>
      <c r="C30" s="68"/>
      <c r="D30" s="68"/>
      <c r="E30" s="68"/>
      <c r="F30" s="68"/>
      <c r="G30" s="68"/>
      <c r="H30" s="68"/>
      <c r="I30" s="68"/>
      <c r="J30" s="68"/>
      <c r="K30" s="68"/>
      <c r="L30" s="68"/>
      <c r="M30" s="68"/>
      <c r="N30" s="68"/>
      <c r="O30" s="68"/>
      <c r="P30" s="68"/>
      <c r="Q30" s="68"/>
      <c r="R30" s="68"/>
      <c r="S30" s="69"/>
    </row>
    <row r="31" spans="1:19" x14ac:dyDescent="0.35">
      <c r="A31" s="67"/>
      <c r="B31" s="68"/>
      <c r="C31" s="68"/>
      <c r="D31" s="68"/>
      <c r="E31" s="68"/>
      <c r="F31" s="68"/>
      <c r="G31" s="68"/>
      <c r="H31" s="68"/>
      <c r="I31" s="68"/>
      <c r="J31" s="68"/>
      <c r="K31" s="68"/>
      <c r="L31" s="68"/>
      <c r="M31" s="68"/>
      <c r="N31" s="68"/>
      <c r="O31" s="68"/>
      <c r="P31" s="68"/>
      <c r="Q31" s="68"/>
      <c r="R31" s="68"/>
      <c r="S31" s="69"/>
    </row>
    <row r="32" spans="1:19" x14ac:dyDescent="0.35">
      <c r="A32" s="67"/>
      <c r="B32" s="68"/>
      <c r="C32" s="68"/>
      <c r="D32" s="68"/>
      <c r="E32" s="68"/>
      <c r="F32" s="68"/>
      <c r="G32" s="68"/>
      <c r="H32" s="68"/>
      <c r="I32" s="68"/>
      <c r="J32" s="68"/>
      <c r="K32" s="68"/>
      <c r="L32" s="68"/>
      <c r="M32" s="68"/>
      <c r="N32" s="68"/>
      <c r="O32" s="68"/>
      <c r="P32" s="68"/>
      <c r="Q32" s="68"/>
      <c r="R32" s="68"/>
      <c r="S32" s="69"/>
    </row>
    <row r="33" spans="1:19" x14ac:dyDescent="0.35">
      <c r="A33" s="67"/>
      <c r="B33" s="68"/>
      <c r="C33" s="68"/>
      <c r="D33" s="68"/>
      <c r="E33" s="68"/>
      <c r="F33" s="68"/>
      <c r="G33" s="68"/>
      <c r="H33" s="68"/>
      <c r="I33" s="68"/>
      <c r="J33" s="68"/>
      <c r="K33" s="68"/>
      <c r="L33" s="68"/>
      <c r="M33" s="68"/>
      <c r="N33" s="68"/>
      <c r="O33" s="68"/>
      <c r="P33" s="68"/>
      <c r="Q33" s="68"/>
      <c r="R33" s="68"/>
      <c r="S33" s="69"/>
    </row>
    <row r="34" spans="1:19" x14ac:dyDescent="0.35">
      <c r="A34" s="67"/>
      <c r="B34" s="68"/>
      <c r="C34" s="68"/>
      <c r="D34" s="68"/>
      <c r="E34" s="68"/>
      <c r="F34" s="68"/>
      <c r="G34" s="68"/>
      <c r="H34" s="68"/>
      <c r="I34" s="68"/>
      <c r="J34" s="68"/>
      <c r="K34" s="68"/>
      <c r="L34" s="68"/>
      <c r="M34" s="68"/>
      <c r="N34" s="68"/>
      <c r="O34" s="68"/>
      <c r="P34" s="68"/>
      <c r="Q34" s="68"/>
      <c r="R34" s="68"/>
      <c r="S34" s="69"/>
    </row>
    <row r="35" spans="1:19" x14ac:dyDescent="0.35">
      <c r="A35" s="67"/>
      <c r="B35" s="68"/>
      <c r="C35" s="68"/>
      <c r="D35" s="68"/>
      <c r="E35" s="68"/>
      <c r="F35" s="68"/>
      <c r="G35" s="68"/>
      <c r="H35" s="68"/>
      <c r="I35" s="68"/>
      <c r="J35" s="68"/>
      <c r="K35" s="68"/>
      <c r="L35" s="68"/>
      <c r="M35" s="68"/>
      <c r="N35" s="68"/>
      <c r="O35" s="68"/>
      <c r="P35" s="68"/>
      <c r="Q35" s="68"/>
      <c r="R35" s="68"/>
      <c r="S35" s="69"/>
    </row>
    <row r="36" spans="1:19" x14ac:dyDescent="0.35">
      <c r="A36" s="67"/>
      <c r="B36" s="68"/>
      <c r="C36" s="68"/>
      <c r="D36" s="68"/>
      <c r="E36" s="68"/>
      <c r="F36" s="68"/>
      <c r="G36" s="68"/>
      <c r="H36" s="68"/>
      <c r="I36" s="68"/>
      <c r="J36" s="68"/>
      <c r="K36" s="68"/>
      <c r="L36" s="68"/>
      <c r="M36" s="68"/>
      <c r="N36" s="68"/>
      <c r="O36" s="68"/>
      <c r="P36" s="68"/>
      <c r="Q36" s="68"/>
      <c r="R36" s="68"/>
      <c r="S36" s="69"/>
    </row>
    <row r="37" spans="1:19" x14ac:dyDescent="0.35">
      <c r="A37" s="67"/>
      <c r="B37" s="68"/>
      <c r="C37" s="68"/>
      <c r="D37" s="68"/>
      <c r="E37" s="68"/>
      <c r="F37" s="68"/>
      <c r="G37" s="68"/>
      <c r="H37" s="68"/>
      <c r="I37" s="68"/>
      <c r="J37" s="68"/>
      <c r="K37" s="68"/>
      <c r="L37" s="68"/>
      <c r="M37" s="68"/>
      <c r="N37" s="68"/>
      <c r="O37" s="68"/>
      <c r="P37" s="68"/>
      <c r="Q37" s="68"/>
      <c r="R37" s="68"/>
      <c r="S37" s="69"/>
    </row>
    <row r="38" spans="1:19" x14ac:dyDescent="0.35">
      <c r="A38" s="67"/>
      <c r="B38" s="68"/>
      <c r="C38" s="68"/>
      <c r="D38" s="68"/>
      <c r="E38" s="68"/>
      <c r="F38" s="68"/>
      <c r="G38" s="68"/>
      <c r="H38" s="68"/>
      <c r="I38" s="68"/>
      <c r="J38" s="68"/>
      <c r="K38" s="68"/>
      <c r="L38" s="68"/>
      <c r="M38" s="68"/>
      <c r="N38" s="68"/>
      <c r="O38" s="68"/>
      <c r="P38" s="68"/>
      <c r="Q38" s="68"/>
      <c r="R38" s="68"/>
      <c r="S38" s="69"/>
    </row>
    <row r="39" spans="1:19" ht="14.5" customHeight="1" x14ac:dyDescent="0.35">
      <c r="A39" s="67"/>
      <c r="B39" s="68"/>
      <c r="C39" s="68"/>
      <c r="D39" s="68"/>
      <c r="E39" s="68"/>
      <c r="F39" s="68"/>
      <c r="G39" s="68"/>
      <c r="H39" s="68"/>
      <c r="I39" s="68"/>
      <c r="J39" s="68"/>
      <c r="K39" s="68"/>
      <c r="L39" s="68"/>
      <c r="M39" s="68"/>
      <c r="N39" s="68"/>
      <c r="O39" s="68"/>
      <c r="P39" s="68"/>
      <c r="Q39" s="68"/>
      <c r="R39" s="68"/>
      <c r="S39" s="69"/>
    </row>
    <row r="40" spans="1:19" x14ac:dyDescent="0.35">
      <c r="A40" s="67"/>
      <c r="B40" s="68"/>
      <c r="C40" s="68"/>
      <c r="D40" s="68"/>
      <c r="E40" s="68"/>
      <c r="F40" s="68"/>
      <c r="G40" s="68"/>
      <c r="H40" s="68"/>
      <c r="I40" s="68"/>
      <c r="J40" s="68"/>
      <c r="K40" s="68"/>
      <c r="L40" s="68"/>
      <c r="M40" s="68"/>
      <c r="N40" s="68"/>
      <c r="O40" s="68"/>
      <c r="P40" s="68"/>
      <c r="Q40" s="68"/>
      <c r="R40" s="68"/>
      <c r="S40" s="69"/>
    </row>
    <row r="41" spans="1:19" x14ac:dyDescent="0.35">
      <c r="A41" s="67"/>
      <c r="B41" s="68"/>
      <c r="C41" s="68"/>
      <c r="D41" s="68"/>
      <c r="E41" s="68"/>
      <c r="F41" s="68"/>
      <c r="G41" s="68"/>
      <c r="H41" s="68"/>
      <c r="I41" s="68"/>
      <c r="J41" s="68"/>
      <c r="K41" s="68"/>
      <c r="L41" s="68"/>
      <c r="M41" s="68"/>
      <c r="N41" s="68"/>
      <c r="O41" s="68"/>
      <c r="P41" s="68"/>
      <c r="Q41" s="68"/>
      <c r="R41" s="68"/>
      <c r="S41" s="69"/>
    </row>
    <row r="42" spans="1:19" x14ac:dyDescent="0.35">
      <c r="A42" s="67"/>
      <c r="B42" s="68"/>
      <c r="C42" s="68"/>
      <c r="D42" s="68"/>
      <c r="E42" s="68"/>
      <c r="F42" s="68"/>
      <c r="G42" s="68"/>
      <c r="H42" s="68"/>
      <c r="I42" s="68"/>
      <c r="J42" s="68"/>
      <c r="K42" s="68"/>
      <c r="L42" s="68"/>
      <c r="M42" s="68"/>
      <c r="N42" s="68"/>
      <c r="O42" s="68"/>
      <c r="P42" s="68"/>
      <c r="Q42" s="68"/>
      <c r="R42" s="68"/>
      <c r="S42" s="69"/>
    </row>
    <row r="43" spans="1:19" x14ac:dyDescent="0.35">
      <c r="A43" s="70"/>
      <c r="B43" s="71"/>
      <c r="C43" s="71"/>
      <c r="D43" s="71"/>
      <c r="E43" s="71"/>
      <c r="F43" s="71"/>
      <c r="G43" s="71"/>
      <c r="H43" s="71"/>
      <c r="I43" s="71"/>
      <c r="J43" s="71"/>
      <c r="K43" s="71"/>
      <c r="L43" s="71"/>
      <c r="M43" s="71"/>
      <c r="N43" s="71"/>
      <c r="O43" s="71"/>
      <c r="P43" s="71"/>
      <c r="Q43" s="71"/>
      <c r="R43" s="71"/>
      <c r="S43" s="72"/>
    </row>
    <row r="44" spans="1:19" x14ac:dyDescent="0.35">
      <c r="A44" s="63"/>
      <c r="B44" s="63"/>
      <c r="C44" s="63"/>
      <c r="D44" s="63"/>
      <c r="E44" s="63"/>
      <c r="F44" s="63"/>
      <c r="G44" s="63"/>
      <c r="H44" s="63"/>
      <c r="I44" s="63"/>
      <c r="J44" s="63"/>
      <c r="K44" s="63"/>
      <c r="L44" s="63"/>
      <c r="M44" s="63"/>
      <c r="N44" s="63"/>
      <c r="O44" s="63"/>
      <c r="P44" s="63"/>
      <c r="Q44" s="63"/>
      <c r="R44" s="63"/>
      <c r="S44" s="63"/>
    </row>
    <row r="45" spans="1:19" x14ac:dyDescent="0.35">
      <c r="A45" s="64" t="s">
        <v>284</v>
      </c>
      <c r="B45" s="65"/>
      <c r="C45" s="65"/>
      <c r="D45" s="65"/>
      <c r="E45" s="65"/>
      <c r="F45" s="65"/>
      <c r="G45" s="65"/>
      <c r="H45" s="65"/>
      <c r="I45" s="65"/>
      <c r="J45" s="65"/>
      <c r="K45" s="65"/>
      <c r="L45" s="65"/>
      <c r="M45" s="65"/>
      <c r="N45" s="65"/>
      <c r="O45" s="65"/>
      <c r="P45" s="65"/>
      <c r="Q45" s="65"/>
      <c r="R45" s="65"/>
      <c r="S45" s="66"/>
    </row>
    <row r="46" spans="1:19" x14ac:dyDescent="0.35">
      <c r="A46" s="67"/>
      <c r="B46" s="68"/>
      <c r="C46" s="68"/>
      <c r="D46" s="68"/>
      <c r="E46" s="68"/>
      <c r="F46" s="68"/>
      <c r="G46" s="68"/>
      <c r="H46" s="68"/>
      <c r="I46" s="68"/>
      <c r="J46" s="68"/>
      <c r="K46" s="68"/>
      <c r="L46" s="68"/>
      <c r="M46" s="68"/>
      <c r="N46" s="68"/>
      <c r="O46" s="68"/>
      <c r="P46" s="68"/>
      <c r="Q46" s="68"/>
      <c r="R46" s="68"/>
      <c r="S46" s="69"/>
    </row>
    <row r="47" spans="1:19" x14ac:dyDescent="0.35">
      <c r="A47" s="70"/>
      <c r="B47" s="71"/>
      <c r="C47" s="71"/>
      <c r="D47" s="71"/>
      <c r="E47" s="71"/>
      <c r="F47" s="71"/>
      <c r="G47" s="71"/>
      <c r="H47" s="71"/>
      <c r="I47" s="71"/>
      <c r="J47" s="71"/>
      <c r="K47" s="71"/>
      <c r="L47" s="71"/>
      <c r="M47" s="71"/>
      <c r="N47" s="71"/>
      <c r="O47" s="71"/>
      <c r="P47" s="71"/>
      <c r="Q47" s="71"/>
      <c r="R47" s="71"/>
      <c r="S47" s="72"/>
    </row>
  </sheetData>
  <mergeCells count="8">
    <mergeCell ref="A44:S44"/>
    <mergeCell ref="A45:S47"/>
    <mergeCell ref="A14:S43"/>
    <mergeCell ref="A1:D2"/>
    <mergeCell ref="A4:B4"/>
    <mergeCell ref="A12:D12"/>
    <mergeCell ref="A13:B13"/>
    <mergeCell ref="A5: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FBDD9-09C1-4BA8-8267-F3E9C8991047}">
  <sheetPr codeName="Sheet3"/>
  <dimension ref="A1:E132"/>
  <sheetViews>
    <sheetView workbookViewId="0">
      <selection activeCell="E16" sqref="E16"/>
    </sheetView>
  </sheetViews>
  <sheetFormatPr defaultRowHeight="14.5" x14ac:dyDescent="0.35"/>
  <cols>
    <col min="1" max="1" width="8.7265625" style="6"/>
    <col min="2" max="2" width="35.81640625" customWidth="1"/>
    <col min="3" max="3" width="44.81640625" style="7" customWidth="1"/>
    <col min="5" max="5" width="10.6328125" customWidth="1"/>
  </cols>
  <sheetData>
    <row r="1" spans="1:5" x14ac:dyDescent="0.35">
      <c r="A1" s="3" t="s">
        <v>254</v>
      </c>
      <c r="B1" s="4" t="s">
        <v>21</v>
      </c>
      <c r="C1" s="5" t="s">
        <v>11</v>
      </c>
    </row>
    <row r="2" spans="1:5" x14ac:dyDescent="0.35">
      <c r="A2" s="6">
        <v>1</v>
      </c>
      <c r="B2" t="str" cm="1">
        <f t="array" ref="B2:B47">_xlfn.UNIQUE(_xlfn._xlws.FILTER(Data!I2:I1038,Data!H2:H1038="ILAC"))</f>
        <v>HV</v>
      </c>
      <c r="C2" s="7" t="str" cm="1">
        <f t="array" ref="C2:C132">_xlfn.UNIQUE(_xlfn._xlws.FILTER(Data!I2:I1038,Data!H2:H1038="FBA"))</f>
        <v>Req info</v>
      </c>
    </row>
    <row r="3" spans="1:5" x14ac:dyDescent="0.35">
      <c r="A3" s="6">
        <v>2</v>
      </c>
      <c r="B3" t="str">
        <v>POD</v>
      </c>
      <c r="C3" s="7" t="str">
        <v>Lost inventory</v>
      </c>
    </row>
    <row r="4" spans="1:5" x14ac:dyDescent="0.35">
      <c r="A4" s="6">
        <v>3</v>
      </c>
      <c r="B4" t="str">
        <v>Invoice</v>
      </c>
      <c r="C4" s="7" t="str">
        <v>Contents tab</v>
      </c>
    </row>
    <row r="5" spans="1:5" x14ac:dyDescent="0.35">
      <c r="A5" s="6">
        <v>4</v>
      </c>
      <c r="B5" t="str">
        <v>Reimbursed</v>
      </c>
      <c r="C5" s="7" t="str">
        <v>Open TT</v>
      </c>
      <c r="E5" s="47" t="s">
        <v>5</v>
      </c>
    </row>
    <row r="6" spans="1:5" x14ac:dyDescent="0.35">
      <c r="A6" s="6">
        <v>5</v>
      </c>
      <c r="B6" t="str">
        <v>Merged case</v>
      </c>
      <c r="C6" s="7" t="str">
        <v>Removal Order</v>
      </c>
      <c r="E6" s="47" t="s">
        <v>3</v>
      </c>
    </row>
    <row r="7" spans="1:5" x14ac:dyDescent="0.35">
      <c r="A7" s="6">
        <v>6</v>
      </c>
      <c r="B7" t="str">
        <v>WD</v>
      </c>
      <c r="C7" s="7" t="str">
        <v>Preferred FC</v>
      </c>
      <c r="E7" s="47" t="s">
        <v>4</v>
      </c>
    </row>
    <row r="8" spans="1:5" x14ac:dyDescent="0.35">
      <c r="A8" s="6">
        <v>7</v>
      </c>
      <c r="B8" t="str">
        <v>Re-evaluation request</v>
      </c>
      <c r="C8" s="7" t="str">
        <v>Warehouse transfer</v>
      </c>
      <c r="E8" s="47" t="s">
        <v>7</v>
      </c>
    </row>
    <row r="9" spans="1:5" x14ac:dyDescent="0.35">
      <c r="A9" s="6">
        <v>8</v>
      </c>
      <c r="B9" t="str">
        <v>Req info</v>
      </c>
      <c r="C9" s="7" t="str">
        <v>WD</v>
      </c>
      <c r="E9" s="47" t="s">
        <v>10</v>
      </c>
    </row>
    <row r="10" spans="1:5" x14ac:dyDescent="0.35">
      <c r="A10" s="6">
        <v>9</v>
      </c>
      <c r="B10" t="str">
        <v>FBA</v>
      </c>
      <c r="C10" s="7" t="str">
        <v>Seller performance</v>
      </c>
      <c r="E10" s="47"/>
    </row>
    <row r="11" spans="1:5" x14ac:dyDescent="0.35">
      <c r="A11" s="6">
        <v>10</v>
      </c>
      <c r="B11" t="str">
        <v>Reconciled</v>
      </c>
      <c r="C11" s="7" t="str">
        <v>Seller flex order - Safe-T claim</v>
      </c>
    </row>
    <row r="12" spans="1:5" x14ac:dyDescent="0.35">
      <c r="A12" s="6">
        <v>11</v>
      </c>
      <c r="B12" t="str">
        <v>Open TT</v>
      </c>
      <c r="C12" s="7" t="str">
        <v>Added follow up</v>
      </c>
    </row>
    <row r="13" spans="1:5" x14ac:dyDescent="0.35">
      <c r="A13" s="6">
        <v>12</v>
      </c>
      <c r="B13" t="str">
        <v>BOL</v>
      </c>
      <c r="C13" s="7" t="str">
        <v>FC processing</v>
      </c>
    </row>
    <row r="14" spans="1:5" x14ac:dyDescent="0.35">
      <c r="A14" s="6">
        <v>13</v>
      </c>
      <c r="B14" t="str">
        <v>Prohibited items</v>
      </c>
      <c r="C14" s="7" t="str">
        <v>Damaged inventory</v>
      </c>
    </row>
    <row r="15" spans="1:5" x14ac:dyDescent="0.35">
      <c r="A15" s="6">
        <v>14</v>
      </c>
      <c r="B15" t="str">
        <v>Item Ineligible</v>
      </c>
      <c r="C15" s="7" t="str">
        <v xml:space="preserve">Easyship </v>
      </c>
    </row>
    <row r="16" spans="1:5" x14ac:dyDescent="0.35">
      <c r="A16" s="6">
        <v>15</v>
      </c>
      <c r="B16" t="str">
        <v>Shipment over 6 months</v>
      </c>
      <c r="C16" s="7" t="str">
        <v>Reserved inventory</v>
      </c>
    </row>
    <row r="17" spans="1:3" x14ac:dyDescent="0.35">
      <c r="A17" s="6">
        <v>16</v>
      </c>
      <c r="B17" t="str">
        <v>Stranded inventory</v>
      </c>
      <c r="C17" s="7" t="str">
        <v>ASIN remap</v>
      </c>
    </row>
    <row r="18" spans="1:3" x14ac:dyDescent="0.35">
      <c r="A18" s="6">
        <v>17</v>
      </c>
      <c r="B18" t="str">
        <v>More time req</v>
      </c>
      <c r="C18" s="7" t="str">
        <v>Receiving</v>
      </c>
    </row>
    <row r="19" spans="1:3" x14ac:dyDescent="0.35">
      <c r="A19" s="6">
        <v>18</v>
      </c>
      <c r="B19" t="str">
        <v>Receiving</v>
      </c>
      <c r="C19" s="7" t="str">
        <v>BR support</v>
      </c>
    </row>
    <row r="20" spans="1:3" x14ac:dyDescent="0.35">
      <c r="A20" s="6">
        <v>19</v>
      </c>
      <c r="B20" t="str">
        <v>Contents tab</v>
      </c>
      <c r="C20" s="7" t="str">
        <v>Merged case</v>
      </c>
    </row>
    <row r="21" spans="1:3" x14ac:dyDescent="0.35">
      <c r="A21" s="6">
        <v>20</v>
      </c>
      <c r="B21" t="str">
        <v>SP says there is still 139 units missing</v>
      </c>
      <c r="C21" s="7" t="str">
        <v>Customer return</v>
      </c>
    </row>
    <row r="22" spans="1:3" x14ac:dyDescent="0.35">
      <c r="A22" s="6">
        <v>21</v>
      </c>
      <c r="B22" t="str">
        <v>SA</v>
      </c>
      <c r="C22" s="7" t="str">
        <v>Safe-T claim</v>
      </c>
    </row>
    <row r="23" spans="1:3" x14ac:dyDescent="0.35">
      <c r="A23" s="6">
        <v>22</v>
      </c>
      <c r="B23" t="str">
        <v>Contacted carrier // Follow up required</v>
      </c>
      <c r="C23" s="7" t="str">
        <v>Amazon partnered carrier RMS req</v>
      </c>
    </row>
    <row r="24" spans="1:3" x14ac:dyDescent="0.35">
      <c r="A24" s="6">
        <v>23</v>
      </c>
      <c r="B24" t="str">
        <v>CN</v>
      </c>
      <c r="C24" s="7" t="str">
        <v>Orders</v>
      </c>
    </row>
    <row r="25" spans="1:3" x14ac:dyDescent="0.35">
      <c r="A25" s="6">
        <v>24</v>
      </c>
      <c r="B25" t="str">
        <v>FFT</v>
      </c>
      <c r="C25" s="7" t="str">
        <v>Stranded inventory</v>
      </c>
    </row>
    <row r="26" spans="1:3" x14ac:dyDescent="0.35">
      <c r="A26" s="6">
        <v>25</v>
      </c>
      <c r="B26" t="str">
        <v>VAT</v>
      </c>
      <c r="C26" s="7" t="str">
        <v>Contacted carrier // Follow up required</v>
      </c>
    </row>
    <row r="27" spans="1:3" x14ac:dyDescent="0.35">
      <c r="A27" s="6">
        <v>26</v>
      </c>
      <c r="B27" t="str">
        <v>NL</v>
      </c>
      <c r="C27" s="7" t="str">
        <v>Delivered shipment</v>
      </c>
    </row>
    <row r="28" spans="1:3" x14ac:dyDescent="0.35">
      <c r="A28" s="6">
        <v>27</v>
      </c>
      <c r="B28" t="str">
        <v>Pick-up slip</v>
      </c>
      <c r="C28" s="7" t="str">
        <v>Order not picked up</v>
      </c>
    </row>
    <row r="29" spans="1:3" x14ac:dyDescent="0.35">
      <c r="A29" s="6">
        <v>28</v>
      </c>
      <c r="B29" t="str">
        <v>DE</v>
      </c>
      <c r="C29" s="7" t="str">
        <v>Order fee</v>
      </c>
    </row>
    <row r="30" spans="1:3" x14ac:dyDescent="0.35">
      <c r="A30" s="6">
        <v>29</v>
      </c>
      <c r="B30" t="str">
        <v>*ILAC</v>
      </c>
      <c r="C30" s="7" t="str">
        <v>Create shipment</v>
      </c>
    </row>
    <row r="31" spans="1:3" x14ac:dyDescent="0.35">
      <c r="A31" s="6">
        <v>30</v>
      </c>
      <c r="B31" t="str">
        <v>No discrepancy</v>
      </c>
      <c r="C31" s="7" t="str">
        <v>Non returnable ASIN</v>
      </c>
    </row>
    <row r="32" spans="1:3" x14ac:dyDescent="0.35">
      <c r="A32" s="6">
        <v>31</v>
      </c>
      <c r="B32" t="str">
        <v>Reopen req - shipment</v>
      </c>
      <c r="C32" s="7" t="str">
        <v>Inactive listing</v>
      </c>
    </row>
    <row r="33" spans="1:3" x14ac:dyDescent="0.35">
      <c r="A33" s="6">
        <v>32</v>
      </c>
      <c r="B33" t="str">
        <v>Previous ASC has contacted carrier</v>
      </c>
      <c r="C33" s="7" t="str">
        <v>TT cut for tool access</v>
      </c>
    </row>
    <row r="34" spans="1:3" x14ac:dyDescent="0.35">
      <c r="A34" s="6">
        <v>33</v>
      </c>
      <c r="B34" t="str">
        <v xml:space="preserve">Proof of Pick up </v>
      </c>
      <c r="C34" s="7" t="str">
        <v>POD</v>
      </c>
    </row>
    <row r="35" spans="1:3" x14ac:dyDescent="0.35">
      <c r="A35" s="6">
        <v>34</v>
      </c>
      <c r="B35" t="str">
        <v>Adjusted</v>
      </c>
      <c r="C35" s="7" t="str">
        <v>Distributor Damaged</v>
      </c>
    </row>
    <row r="36" spans="1:3" x14ac:dyDescent="0.35">
      <c r="A36" s="6">
        <v>35</v>
      </c>
      <c r="B36" t="str">
        <v>Chat disconnected</v>
      </c>
      <c r="C36" s="7" t="str">
        <v>Order</v>
      </c>
    </row>
    <row r="37" spans="1:3" x14ac:dyDescent="0.35">
      <c r="A37" s="6">
        <v>36</v>
      </c>
      <c r="B37" t="str">
        <v>MP DE</v>
      </c>
      <c r="C37" s="7" t="str">
        <v>Feeds</v>
      </c>
    </row>
    <row r="38" spans="1:3" x14ac:dyDescent="0.35">
      <c r="A38" s="6">
        <v>37</v>
      </c>
      <c r="B38" t="str">
        <v>Overage</v>
      </c>
      <c r="C38" s="7" t="str">
        <v>Missed pickup</v>
      </c>
    </row>
    <row r="39" spans="1:3" x14ac:dyDescent="0.35">
      <c r="A39" s="6">
        <v>38</v>
      </c>
      <c r="B39" t="str">
        <v>Contacted carrier</v>
      </c>
      <c r="C39" s="7" t="str">
        <v>VTR</v>
      </c>
    </row>
    <row r="40" spans="1:3" x14ac:dyDescent="0.35">
      <c r="A40" s="6">
        <v>39</v>
      </c>
      <c r="B40" t="str">
        <v>Ineligible</v>
      </c>
      <c r="C40" s="7" t="str">
        <v>Featured offer</v>
      </c>
    </row>
    <row r="41" spans="1:3" x14ac:dyDescent="0.35">
      <c r="A41" s="6">
        <v>40</v>
      </c>
      <c r="B41" t="str">
        <v>AE</v>
      </c>
      <c r="C41" s="7" t="str">
        <v>EG</v>
      </c>
    </row>
    <row r="42" spans="1:3" x14ac:dyDescent="0.35">
      <c r="A42" s="6">
        <v>41</v>
      </c>
      <c r="B42" t="str">
        <v>Undelivered shipment</v>
      </c>
      <c r="C42" s="7" t="str">
        <v>FBA New selection program</v>
      </c>
    </row>
    <row r="43" spans="1:3" x14ac:dyDescent="0.35">
      <c r="A43" s="6">
        <v>42</v>
      </c>
      <c r="B43" t="str">
        <v>PMA</v>
      </c>
      <c r="C43" s="7" t="str">
        <v>Packaging Requirements</v>
      </c>
    </row>
    <row r="44" spans="1:3" x14ac:dyDescent="0.35">
      <c r="A44" s="6">
        <v>43</v>
      </c>
      <c r="B44" t="str">
        <v>ILAC</v>
      </c>
      <c r="C44" s="7" t="str">
        <v>*FFTD</v>
      </c>
    </row>
    <row r="45" spans="1:3" x14ac:dyDescent="0.35">
      <c r="A45" s="6">
        <v>44</v>
      </c>
      <c r="B45" t="str">
        <v>Shipment not closed</v>
      </c>
      <c r="C45" s="7" t="str">
        <v>*Order</v>
      </c>
    </row>
    <row r="46" spans="1:3" x14ac:dyDescent="0.35">
      <c r="A46" s="6">
        <v>45</v>
      </c>
      <c r="B46" t="str">
        <v>Already reimbursed</v>
      </c>
      <c r="C46" s="7" t="str">
        <v>Unfulfillable inventory</v>
      </c>
    </row>
    <row r="47" spans="1:3" x14ac:dyDescent="0.35">
      <c r="A47" s="6">
        <v>46</v>
      </c>
      <c r="B47" t="str">
        <v>Explain charges</v>
      </c>
      <c r="C47" s="7" t="str">
        <v>Informed as per TT</v>
      </c>
    </row>
    <row r="48" spans="1:3" x14ac:dyDescent="0.35">
      <c r="A48" s="6">
        <v>47</v>
      </c>
      <c r="C48" s="7" t="str">
        <v>Subscribe and Save</v>
      </c>
    </row>
    <row r="49" spans="1:3" x14ac:dyDescent="0.35">
      <c r="A49" s="6">
        <v>48</v>
      </c>
      <c r="C49" s="7" t="str">
        <v>IIDP</v>
      </c>
    </row>
    <row r="50" spans="1:3" x14ac:dyDescent="0.35">
      <c r="A50" s="6">
        <v>49</v>
      </c>
      <c r="C50" s="7" t="str">
        <v>Sales rank</v>
      </c>
    </row>
    <row r="51" spans="1:3" x14ac:dyDescent="0.35">
      <c r="A51" s="6">
        <v>50</v>
      </c>
      <c r="C51" s="7" t="str">
        <v>MCF order</v>
      </c>
    </row>
    <row r="52" spans="1:3" x14ac:dyDescent="0.35">
      <c r="A52" s="6">
        <v>51</v>
      </c>
      <c r="C52" s="7" t="str">
        <v>ILAC</v>
      </c>
    </row>
    <row r="53" spans="1:3" x14ac:dyDescent="0.35">
      <c r="A53" s="6">
        <v>52</v>
      </c>
      <c r="C53" s="7" t="str">
        <v>Account closure</v>
      </c>
    </row>
    <row r="54" spans="1:3" x14ac:dyDescent="0.35">
      <c r="A54" s="6">
        <v>53</v>
      </c>
      <c r="C54" s="7" t="str">
        <v>Contacted carrier</v>
      </c>
    </row>
    <row r="55" spans="1:3" x14ac:dyDescent="0.35">
      <c r="A55" s="6">
        <v>54</v>
      </c>
      <c r="C55" s="7" t="str">
        <v>Query unclear</v>
      </c>
    </row>
    <row r="56" spans="1:3" x14ac:dyDescent="0.35">
      <c r="A56" s="6">
        <v>55</v>
      </c>
      <c r="C56" s="7" t="str">
        <v>Seller opened a new chat</v>
      </c>
    </row>
    <row r="57" spans="1:3" x14ac:dyDescent="0.35">
      <c r="A57" s="6">
        <v>56</v>
      </c>
      <c r="C57" s="7" t="str">
        <v>Follow up required</v>
      </c>
    </row>
    <row r="58" spans="1:3" x14ac:dyDescent="0.35">
      <c r="A58" s="6">
        <v>57</v>
      </c>
      <c r="C58" s="7" t="str">
        <v>Chat disconnected</v>
      </c>
    </row>
    <row r="59" spans="1:3" x14ac:dyDescent="0.35">
      <c r="A59" s="6">
        <v>58</v>
      </c>
      <c r="C59" s="7" t="str">
        <v>Feedback Manager</v>
      </c>
    </row>
    <row r="60" spans="1:3" x14ac:dyDescent="0.35">
      <c r="A60" s="6">
        <v>59</v>
      </c>
      <c r="C60" s="7" t="str">
        <v>Send inventory from Egypt to UAE</v>
      </c>
    </row>
    <row r="61" spans="1:3" x14ac:dyDescent="0.35">
      <c r="A61" s="6">
        <v>60</v>
      </c>
      <c r="C61" s="7" t="str">
        <v>Referral fee</v>
      </c>
    </row>
    <row r="62" spans="1:3" x14ac:dyDescent="0.35">
      <c r="A62" s="6">
        <v>61</v>
      </c>
      <c r="C62" s="7" t="str">
        <v>Defective units</v>
      </c>
    </row>
    <row r="63" spans="1:3" x14ac:dyDescent="0.35">
      <c r="A63" s="6">
        <v>62</v>
      </c>
      <c r="C63" s="7" t="str">
        <v>LPN number</v>
      </c>
    </row>
    <row r="64" spans="1:3" x14ac:dyDescent="0.35">
      <c r="A64" s="6">
        <v>63</v>
      </c>
      <c r="C64" s="7" t="str">
        <v>Research why a FC cannot be found for a product</v>
      </c>
    </row>
    <row r="65" spans="1:3" x14ac:dyDescent="0.35">
      <c r="A65" s="6">
        <v>64</v>
      </c>
      <c r="C65" s="7" t="str">
        <v>*SA</v>
      </c>
    </row>
    <row r="66" spans="1:3" x14ac:dyDescent="0.35">
      <c r="A66" s="6">
        <v>65</v>
      </c>
      <c r="C66" s="7" t="str">
        <v>Book an appointment</v>
      </c>
    </row>
    <row r="67" spans="1:3" x14ac:dyDescent="0.35">
      <c r="A67" s="6">
        <v>66</v>
      </c>
      <c r="C67" s="7" t="str">
        <v>Deals</v>
      </c>
    </row>
    <row r="68" spans="1:3" x14ac:dyDescent="0.35">
      <c r="A68" s="6">
        <v>67</v>
      </c>
      <c r="C68" s="7" t="str">
        <v>FFTD</v>
      </c>
    </row>
    <row r="69" spans="1:3" x14ac:dyDescent="0.35">
      <c r="A69" s="6">
        <v>68</v>
      </c>
      <c r="C69" s="7" t="str">
        <v>Multiple identifiers</v>
      </c>
    </row>
    <row r="70" spans="1:3" x14ac:dyDescent="0.35">
      <c r="A70" s="6">
        <v>69</v>
      </c>
      <c r="C70" s="7" t="str">
        <v>WF auto transfer</v>
      </c>
    </row>
    <row r="71" spans="1:3" x14ac:dyDescent="0.35">
      <c r="A71" s="6">
        <v>70</v>
      </c>
      <c r="C71" s="7" t="str">
        <v>Unable to create removal order</v>
      </c>
    </row>
    <row r="72" spans="1:3" x14ac:dyDescent="0.35">
      <c r="A72" s="6">
        <v>71</v>
      </c>
      <c r="C72" s="7" t="str">
        <v>Inventory reports</v>
      </c>
    </row>
    <row r="73" spans="1:3" x14ac:dyDescent="0.35">
      <c r="A73" s="6">
        <v>72</v>
      </c>
      <c r="C73" s="7" t="str">
        <v>Cancel order</v>
      </c>
    </row>
    <row r="74" spans="1:3" x14ac:dyDescent="0.35">
      <c r="A74" s="6">
        <v>73</v>
      </c>
      <c r="C74" s="7" t="str">
        <v>CN</v>
      </c>
    </row>
    <row r="75" spans="1:3" x14ac:dyDescent="0.35">
      <c r="A75" s="6">
        <v>74</v>
      </c>
      <c r="C75" s="7" t="str">
        <v>VAT</v>
      </c>
    </row>
    <row r="76" spans="1:3" x14ac:dyDescent="0.35">
      <c r="A76" s="6">
        <v>75</v>
      </c>
      <c r="C76" s="7" t="str">
        <v>Grade RMS</v>
      </c>
    </row>
    <row r="77" spans="1:3" x14ac:dyDescent="0.35">
      <c r="A77" s="6">
        <v>76</v>
      </c>
      <c r="C77" s="7" t="str">
        <v>Hazmat</v>
      </c>
    </row>
    <row r="78" spans="1:3" x14ac:dyDescent="0.35">
      <c r="A78" s="6">
        <v>77</v>
      </c>
      <c r="C78" s="7" t="str">
        <v>Sold listing report</v>
      </c>
    </row>
    <row r="79" spans="1:3" x14ac:dyDescent="0.35">
      <c r="A79" s="6">
        <v>78</v>
      </c>
      <c r="C79" s="7" t="str">
        <v>Storage Fee</v>
      </c>
    </row>
    <row r="80" spans="1:3" x14ac:dyDescent="0.35">
      <c r="A80" s="6">
        <v>79</v>
      </c>
      <c r="C80" s="7" t="str">
        <v>Partnered carrier option missing</v>
      </c>
    </row>
    <row r="81" spans="1:3" x14ac:dyDescent="0.35">
      <c r="A81" s="6">
        <v>80</v>
      </c>
      <c r="C81" s="7" t="str">
        <v>Duplicate case</v>
      </c>
    </row>
    <row r="82" spans="1:3" x14ac:dyDescent="0.35">
      <c r="A82" s="6">
        <v>81</v>
      </c>
      <c r="C82" s="7" t="str">
        <v>Alternate queue</v>
      </c>
    </row>
    <row r="83" spans="1:3" x14ac:dyDescent="0.35">
      <c r="A83" s="6">
        <v>82</v>
      </c>
      <c r="C83" s="7" t="str">
        <v>Feedback removal req</v>
      </c>
    </row>
    <row r="84" spans="1:3" x14ac:dyDescent="0.35">
      <c r="A84" s="6">
        <v>83</v>
      </c>
      <c r="C84" s="7" t="str">
        <v>Label</v>
      </c>
    </row>
    <row r="85" spans="1:3" x14ac:dyDescent="0.35">
      <c r="A85" s="6">
        <v>84</v>
      </c>
      <c r="C85" s="7" t="str">
        <v>*AE</v>
      </c>
    </row>
    <row r="86" spans="1:3" x14ac:dyDescent="0.35">
      <c r="A86" s="6">
        <v>85</v>
      </c>
      <c r="C86" s="7" t="str">
        <v>Global selling</v>
      </c>
    </row>
    <row r="87" spans="1:3" x14ac:dyDescent="0.35">
      <c r="A87" s="6">
        <v>86</v>
      </c>
      <c r="C87" s="7" t="str">
        <v>Coupon</v>
      </c>
    </row>
    <row r="88" spans="1:3" x14ac:dyDescent="0.35">
      <c r="A88" s="6">
        <v>87</v>
      </c>
      <c r="C88" s="7" t="str">
        <v>VCS</v>
      </c>
    </row>
    <row r="89" spans="1:3" x14ac:dyDescent="0.35">
      <c r="A89" s="6">
        <v>88</v>
      </c>
      <c r="C89" s="7" t="str">
        <v>Cannot create shipment</v>
      </c>
    </row>
    <row r="90" spans="1:3" x14ac:dyDescent="0.35">
      <c r="A90" s="6">
        <v>89</v>
      </c>
      <c r="C90" s="7" t="str">
        <v>Invoice</v>
      </c>
    </row>
    <row r="91" spans="1:3" x14ac:dyDescent="0.35">
      <c r="A91" s="6">
        <v>90</v>
      </c>
      <c r="C91" s="7" t="str">
        <v>Reopen req - shipment</v>
      </c>
    </row>
    <row r="92" spans="1:3" x14ac:dyDescent="0.35">
      <c r="A92" s="6">
        <v>91</v>
      </c>
      <c r="C92" s="7" t="str">
        <v>MAT</v>
      </c>
    </row>
    <row r="93" spans="1:3" x14ac:dyDescent="0.35">
      <c r="A93" s="6">
        <v>92</v>
      </c>
      <c r="C93" s="7" t="str">
        <v>Aged inventory report</v>
      </c>
    </row>
    <row r="94" spans="1:3" x14ac:dyDescent="0.35">
      <c r="A94" s="6">
        <v>93</v>
      </c>
      <c r="C94" s="7" t="str">
        <v>Order invoice</v>
      </c>
    </row>
    <row r="95" spans="1:3" x14ac:dyDescent="0.35">
      <c r="A95" s="6">
        <v>94</v>
      </c>
      <c r="C95" s="7" t="str">
        <v>Pick up issue</v>
      </c>
    </row>
    <row r="96" spans="1:3" x14ac:dyDescent="0.35">
      <c r="A96" s="6">
        <v>95</v>
      </c>
      <c r="C96" s="7" t="str">
        <v>BIL</v>
      </c>
    </row>
    <row r="97" spans="1:3" x14ac:dyDescent="0.35">
      <c r="A97" s="6">
        <v>96</v>
      </c>
      <c r="C97" s="7" t="str">
        <v>Carrier support</v>
      </c>
    </row>
    <row r="98" spans="1:3" x14ac:dyDescent="0.35">
      <c r="A98" s="6">
        <v>97</v>
      </c>
      <c r="C98" s="7" t="str">
        <v>MCF</v>
      </c>
    </row>
    <row r="99" spans="1:3" x14ac:dyDescent="0.35">
      <c r="A99" s="6">
        <v>98</v>
      </c>
      <c r="C99" s="7" t="str">
        <v>FFT</v>
      </c>
    </row>
    <row r="100" spans="1:3" x14ac:dyDescent="0.35">
      <c r="A100" s="6">
        <v>99</v>
      </c>
      <c r="C100" s="7" t="str">
        <v>Expired inventory</v>
      </c>
    </row>
    <row r="101" spans="1:3" x14ac:dyDescent="0.35">
      <c r="A101" s="6">
        <v>100</v>
      </c>
      <c r="C101" s="7" t="str">
        <v>Disbursement</v>
      </c>
    </row>
    <row r="102" spans="1:3" x14ac:dyDescent="0.35">
      <c r="A102" s="6">
        <v>101</v>
      </c>
      <c r="C102" s="7" t="str">
        <v>Ramadan Deal</v>
      </c>
    </row>
    <row r="103" spans="1:3" x14ac:dyDescent="0.35">
      <c r="A103" s="6">
        <v>102</v>
      </c>
      <c r="C103" s="7" t="str">
        <v>Transferred to correct MP</v>
      </c>
    </row>
    <row r="104" spans="1:3" x14ac:dyDescent="0.35">
      <c r="A104" s="6">
        <v>103</v>
      </c>
      <c r="C104" s="7" t="str">
        <v>PO flip</v>
      </c>
    </row>
    <row r="105" spans="1:3" x14ac:dyDescent="0.35">
      <c r="A105" s="6">
        <v>104</v>
      </c>
      <c r="C105" s="7" t="str">
        <v>Amazon pickup service</v>
      </c>
    </row>
    <row r="106" spans="1:3" x14ac:dyDescent="0.35">
      <c r="A106" s="6">
        <v>105</v>
      </c>
      <c r="C106" s="7" t="str">
        <v>Pan european program</v>
      </c>
    </row>
    <row r="107" spans="1:3" x14ac:dyDescent="0.35">
      <c r="A107" s="6">
        <v>106</v>
      </c>
      <c r="C107" s="7" t="str">
        <v>Convert listing in bulk</v>
      </c>
    </row>
    <row r="108" spans="1:3" x14ac:dyDescent="0.35">
      <c r="A108" s="6">
        <v>107</v>
      </c>
      <c r="C108" s="7" t="str">
        <v>Explain charges</v>
      </c>
    </row>
    <row r="109" spans="1:3" x14ac:dyDescent="0.35">
      <c r="A109" s="6">
        <v>108</v>
      </c>
      <c r="C109" s="7" t="str">
        <v>Re-evaluation request</v>
      </c>
    </row>
    <row r="110" spans="1:3" x14ac:dyDescent="0.35">
      <c r="A110" s="6">
        <v>109</v>
      </c>
      <c r="C110" s="7" t="str">
        <v>Restricted ASIN</v>
      </c>
    </row>
    <row r="111" spans="1:3" x14ac:dyDescent="0.35">
      <c r="A111" s="6">
        <v>110</v>
      </c>
      <c r="C111" s="7" t="str">
        <v>Carrier Damaged</v>
      </c>
    </row>
    <row r="112" spans="1:3" x14ac:dyDescent="0.35">
      <c r="A112" s="6">
        <v>111</v>
      </c>
      <c r="C112" s="7" t="str">
        <v>Report a violation</v>
      </c>
    </row>
    <row r="113" spans="1:3" x14ac:dyDescent="0.35">
      <c r="A113" s="6">
        <v>112</v>
      </c>
      <c r="C113" s="7" t="str">
        <v>Rejected Shipment</v>
      </c>
    </row>
    <row r="114" spans="1:3" x14ac:dyDescent="0.35">
      <c r="A114" s="6">
        <v>113</v>
      </c>
      <c r="C114" s="7" t="str">
        <v>Update business address</v>
      </c>
    </row>
    <row r="115" spans="1:3" x14ac:dyDescent="0.35">
      <c r="A115" s="6">
        <v>114</v>
      </c>
      <c r="C115" s="7" t="str">
        <v>Voice of the customer</v>
      </c>
    </row>
    <row r="116" spans="1:3" x14ac:dyDescent="0.35">
      <c r="A116" s="6">
        <v>115</v>
      </c>
      <c r="C116" s="7" t="str">
        <v>Status change</v>
      </c>
    </row>
    <row r="117" spans="1:3" x14ac:dyDescent="0.35">
      <c r="A117" s="6">
        <v>116</v>
      </c>
      <c r="C117" s="7" t="str">
        <v>Gated listing</v>
      </c>
    </row>
    <row r="118" spans="1:3" x14ac:dyDescent="0.35">
      <c r="A118" s="6">
        <v>117</v>
      </c>
      <c r="C118" s="7" t="str">
        <v>Order ID</v>
      </c>
    </row>
    <row r="119" spans="1:3" x14ac:dyDescent="0.35">
      <c r="A119" s="6">
        <v>118</v>
      </c>
      <c r="C119" s="7" t="str">
        <v>Unauthorised inventory</v>
      </c>
    </row>
    <row r="120" spans="1:3" x14ac:dyDescent="0.35">
      <c r="A120" s="6">
        <v>119</v>
      </c>
      <c r="C120" s="7" t="str">
        <v>RMS</v>
      </c>
    </row>
    <row r="121" spans="1:3" x14ac:dyDescent="0.35">
      <c r="A121" s="6">
        <v>120</v>
      </c>
      <c r="C121" s="7" t="str">
        <v>FC address</v>
      </c>
    </row>
    <row r="122" spans="1:3" x14ac:dyDescent="0.35">
      <c r="A122" s="6">
        <v>121</v>
      </c>
      <c r="C122" s="7" t="str">
        <v>Self ship</v>
      </c>
    </row>
    <row r="123" spans="1:3" x14ac:dyDescent="0.35">
      <c r="A123" s="6">
        <v>122</v>
      </c>
      <c r="C123" s="7" t="str">
        <v>Re-print label</v>
      </c>
    </row>
    <row r="124" spans="1:3" x14ac:dyDescent="0.35">
      <c r="A124" s="6">
        <v>123</v>
      </c>
      <c r="C124" s="7" t="str">
        <v>Reimbursed</v>
      </c>
    </row>
    <row r="125" spans="1:3" x14ac:dyDescent="0.35">
      <c r="A125" s="6">
        <v>124</v>
      </c>
      <c r="C125" s="7" t="str">
        <v>AmazonNow</v>
      </c>
    </row>
    <row r="126" spans="1:3" x14ac:dyDescent="0.35">
      <c r="A126" s="6">
        <v>125</v>
      </c>
      <c r="C126" s="7" t="str">
        <v>Callback req</v>
      </c>
    </row>
    <row r="127" spans="1:3" x14ac:dyDescent="0.35">
      <c r="A127" s="6">
        <v>126</v>
      </c>
      <c r="C127" s="7" t="str">
        <v>ATS</v>
      </c>
    </row>
    <row r="128" spans="1:3" x14ac:dyDescent="0.35">
      <c r="A128" s="6">
        <v>127</v>
      </c>
      <c r="C128" s="7" t="str">
        <v>Overage</v>
      </c>
    </row>
    <row r="129" spans="1:3" x14ac:dyDescent="0.35">
      <c r="A129" s="6">
        <v>128</v>
      </c>
      <c r="C129" s="7" t="str">
        <v>DE</v>
      </c>
    </row>
    <row r="130" spans="1:3" x14ac:dyDescent="0.35">
      <c r="A130" s="6">
        <v>129</v>
      </c>
      <c r="C130" s="7" t="str">
        <v>Prev ASC resolved chat case</v>
      </c>
    </row>
    <row r="131" spans="1:3" x14ac:dyDescent="0.35">
      <c r="A131" s="6">
        <v>130</v>
      </c>
      <c r="C131" s="7" t="str">
        <v>Arabic support</v>
      </c>
    </row>
    <row r="132" spans="1:3" x14ac:dyDescent="0.35">
      <c r="A132" s="6">
        <v>131</v>
      </c>
      <c r="C132" s="7" t="str">
        <v>Close account</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Data</vt:lpstr>
      <vt:lpstr>PivotTable</vt:lpstr>
      <vt:lpstr>Dashboard</vt:lpstr>
      <vt:lpstr>Project Summary</vt:lpstr>
      <vt:lpstr>Mapping</vt:lpstr>
      <vt:lpstr>FBA</vt:lpstr>
      <vt:lpstr>ILAC</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amrbegam@amazon.com</dc:creator>
  <cp:lastModifiedBy>Begam, Amrin</cp:lastModifiedBy>
  <cp:lastPrinted>2025-07-16T17:52:54Z</cp:lastPrinted>
  <dcterms:created xsi:type="dcterms:W3CDTF">2020-08-03T17:31:10Z</dcterms:created>
  <dcterms:modified xsi:type="dcterms:W3CDTF">2025-09-27T13:00:46Z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2025-09-27T13:00:46Z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f8e252e4-0e9a-434d-a4fc-68b873a7f350</vt:lpwstr>
  </property>
  <property fmtid="{D5CDD505-2E9C-101B-9397-08002B2CF9AE}" pid="8" name="MSIP_Label_19e68092-05df-4271-8e3e-b2a4c82ba797_ContentBits">
    <vt:lpwstr>0</vt:lpwstr>
  </property>
  <property fmtid="{D5CDD505-2E9C-101B-9397-08002B2CF9AE}" pid="9" name="MSIP_Label_19e68092-05df-4271-8e3e-b2a4c82ba797_Tag">
    <vt:lpwstr>10, 3, 0, 1</vt:lpwstr>
  </property>
</Properties>
</file>